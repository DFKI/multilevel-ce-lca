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venmosalay/Desktop/"/>
    </mc:Choice>
  </mc:AlternateContent>
  <xr:revisionPtr revIDLastSave="0" documentId="13_ncr:1_{74730C63-E9BB-184A-AD68-17C1BC9A4BE5}" xr6:coauthVersionLast="47" xr6:coauthVersionMax="47" xr10:uidLastSave="{00000000-0000-0000-0000-000000000000}"/>
  <bookViews>
    <workbookView xWindow="0" yWindow="0" windowWidth="25600" windowHeight="16000" tabRatio="817" activeTab="5" xr2:uid="{FE51D764-B831-4A02-A4B2-58D5768E2E8C}"/>
  </bookViews>
  <sheets>
    <sheet name="Flow Diagram" sheetId="10" r:id="rId1"/>
    <sheet name="Life Cycle Inventory" sheetId="5" r:id="rId2"/>
    <sheet name="Nano and Micro GWP results" sheetId="9" r:id="rId3"/>
    <sheet name="Normalised Results" sheetId="7" r:id="rId4"/>
    <sheet name="Raw Results" sheetId="8" r:id="rId5"/>
    <sheet name="Sensitivity Analysi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9" i="5" l="1"/>
  <c r="C78" i="5"/>
  <c r="C10" i="9"/>
  <c r="G6" i="9"/>
  <c r="G7" i="9"/>
  <c r="G4" i="9"/>
  <c r="G5" i="9" s="1"/>
  <c r="C7" i="7" l="1"/>
  <c r="C12" i="7"/>
  <c r="C13" i="7"/>
  <c r="C14" i="7"/>
  <c r="C15" i="7"/>
  <c r="C16" i="7"/>
  <c r="C17" i="7"/>
  <c r="C18" i="7"/>
  <c r="C23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" i="7"/>
  <c r="C4" i="7"/>
  <c r="C5" i="7"/>
  <c r="C6" i="7"/>
  <c r="C8" i="7"/>
  <c r="C9" i="7"/>
  <c r="C10" i="7"/>
  <c r="C11" i="7"/>
  <c r="C19" i="7"/>
  <c r="C20" i="7"/>
  <c r="C21" i="7"/>
  <c r="C22" i="7"/>
  <c r="C24" i="7"/>
  <c r="C25" i="7"/>
  <c r="C26" i="7"/>
  <c r="C27" i="7"/>
  <c r="C28" i="7"/>
  <c r="C29" i="7"/>
</calcChain>
</file>

<file path=xl/sharedStrings.xml><?xml version="1.0" encoding="utf-8"?>
<sst xmlns="http://schemas.openxmlformats.org/spreadsheetml/2006/main" count="272" uniqueCount="142">
  <si>
    <t>Process 1: Additive Manufacturing Cabin</t>
  </si>
  <si>
    <t>Input</t>
  </si>
  <si>
    <t>Value</t>
  </si>
  <si>
    <t>Unit</t>
  </si>
  <si>
    <t>Polylactic acid (PLA)</t>
  </si>
  <si>
    <t>kg</t>
  </si>
  <si>
    <t>German electricity grid</t>
  </si>
  <si>
    <t>MJ</t>
  </si>
  <si>
    <t>Output</t>
  </si>
  <si>
    <t>PLA Cabin</t>
  </si>
  <si>
    <t>Process 2: Transportation of Ordered Parts</t>
  </si>
  <si>
    <t>Ordered parts</t>
  </si>
  <si>
    <t xml:space="preserve">Diesel mix </t>
  </si>
  <si>
    <t xml:space="preserve">Ordered parts </t>
  </si>
  <si>
    <t xml:space="preserve">Process 3: Additive Manufacturing Semitrailer </t>
  </si>
  <si>
    <t xml:space="preserve"> Unit </t>
  </si>
  <si>
    <t>PLA</t>
  </si>
  <si>
    <t>Semitrailer base</t>
  </si>
  <si>
    <t>Process 4: Sub-assembly Cab Chassis</t>
  </si>
  <si>
    <t>Ordered parts for process 4</t>
  </si>
  <si>
    <t>Cabin chassis</t>
  </si>
  <si>
    <t>Process 5: Sub-assembly Semitrailer Chassis</t>
  </si>
  <si>
    <t>Ordered parts for process 5</t>
  </si>
  <si>
    <t>Semitrailer chassis</t>
  </si>
  <si>
    <t>Process 6: Sub-assembly Semitrailer</t>
  </si>
  <si>
    <t>Ordered parts for process 6</t>
  </si>
  <si>
    <t>Semitrailer</t>
  </si>
  <si>
    <t xml:space="preserve">Process 7: Sub-assembly Truck Tractor Unit </t>
  </si>
  <si>
    <t>Cabin</t>
  </si>
  <si>
    <t>German electricity mix</t>
  </si>
  <si>
    <t>Truck tractor unit</t>
  </si>
  <si>
    <t>Process 8: Sub-assembly Semitrailer Unit</t>
  </si>
  <si>
    <t>Semitrailer unit</t>
  </si>
  <si>
    <t xml:space="preserve">Process 9: Final Assembly Truck </t>
  </si>
  <si>
    <t>Final truck</t>
  </si>
  <si>
    <t>Nano-level</t>
  </si>
  <si>
    <t>Micro-level</t>
  </si>
  <si>
    <t>Category</t>
  </si>
  <si>
    <t>Amount</t>
  </si>
  <si>
    <t xml:space="preserve">Unit </t>
  </si>
  <si>
    <t>Total amount</t>
  </si>
  <si>
    <t>Product: Toy Truck</t>
  </si>
  <si>
    <t>/</t>
  </si>
  <si>
    <t>per week</t>
  </si>
  <si>
    <t>per year</t>
  </si>
  <si>
    <t>Toy Truck GWP</t>
  </si>
  <si>
    <t>kg CO2 eq.</t>
  </si>
  <si>
    <t>Lighting Energy GWP</t>
  </si>
  <si>
    <t>kWh/(m² year)</t>
  </si>
  <si>
    <t>kWh/year</t>
  </si>
  <si>
    <t xml:space="preserve">Heating Energy GWP </t>
  </si>
  <si>
    <t>Square meters</t>
  </si>
  <si>
    <t>m²</t>
  </si>
  <si>
    <t>Total GWP</t>
  </si>
  <si>
    <t>Environmental Footprint Category</t>
  </si>
  <si>
    <t xml:space="preserve">Total impact </t>
  </si>
  <si>
    <t xml:space="preserve">DE: Diesel mix at refinery </t>
  </si>
  <si>
    <t>DE: Electricity Additive Manufacturing Cabin</t>
  </si>
  <si>
    <t>DE: Electricity Additive Manufacturing Semitrailer</t>
  </si>
  <si>
    <t>DE: Electricity Sub-assembly Truck Tractor Unit</t>
  </si>
  <si>
    <t>DE: Electricity Final Assembly Truck</t>
  </si>
  <si>
    <t>DE: Electricity Sub-assembly Semitrailer Unit</t>
  </si>
  <si>
    <t>GLO: Truck, Euro 0 - 6 mix, up to 7.5t gross weight</t>
  </si>
  <si>
    <t>GLO: polylactic acid production, granulate</t>
  </si>
  <si>
    <t>EF 3.0 Acidification terrestrial and freshwater</t>
  </si>
  <si>
    <t>EF 3.0 Cancer human health effects</t>
  </si>
  <si>
    <t>EF 3.0 Cancer human health effects (Inorganic)</t>
  </si>
  <si>
    <t>EF 3.0 Cancer human health effects (Metal)</t>
  </si>
  <si>
    <t>EF 3.0 Climate Change</t>
  </si>
  <si>
    <t>EF 3.0 Climate Change (biogenic)</t>
  </si>
  <si>
    <t>EF 3.0 Climate Change (fossil)</t>
  </si>
  <si>
    <t>EF 3.0 Climate Change (land use change)</t>
  </si>
  <si>
    <t>EF 3.0 Ecotoxicity freshwater</t>
  </si>
  <si>
    <t>EF 3.0 Ecotoxicity freshwater (Inorganic)</t>
  </si>
  <si>
    <t>EF 3.0 Ecotoxicity freshwater (Metals)</t>
  </si>
  <si>
    <t>EF 3.0 Ecotoxicity freshwater (Organic)</t>
  </si>
  <si>
    <t>EF 3.0 Eutrophication freshwater</t>
  </si>
  <si>
    <t>EF 3.0 Eutrophication marine</t>
  </si>
  <si>
    <t>EF 3.0 Eutrophication terrestrial</t>
  </si>
  <si>
    <t>EF 3.0 Ionising radiation - human health</t>
  </si>
  <si>
    <t>EF 3.0 Land Use</t>
  </si>
  <si>
    <t>EF 3.0 Non-cancer human health effects</t>
  </si>
  <si>
    <t>EF 3.0 Non-cancer human health effects (Inorganic)</t>
  </si>
  <si>
    <t>EF 3.0 Non-cancer human health effects (Metals)</t>
  </si>
  <si>
    <t>EF 3.0 Non-cancer human health effects (Organic)</t>
  </si>
  <si>
    <t>EF 3.0 Ozone depletion</t>
  </si>
  <si>
    <t>EF 3.0 Photochemical ozone formation - human health</t>
  </si>
  <si>
    <t>EF 3.0 Resource use, energy carriers</t>
  </si>
  <si>
    <t>EF 3.0 Resource use, mineral and metals</t>
  </si>
  <si>
    <t>EF 3.0 Respiratory inorganics</t>
  </si>
  <si>
    <t>EF 3.0 Water scarcity</t>
  </si>
  <si>
    <t>Total Impact</t>
  </si>
  <si>
    <t>DE: Diesel for Transportation</t>
  </si>
  <si>
    <t>GLO: Truck, Euro 0 - 6 mix, up to 7.5t gross weight / 2.7t payload capacity ts &lt;u-so&gt;</t>
  </si>
  <si>
    <t>Polylactic acid production &lt;u-so&gt;</t>
  </si>
  <si>
    <t>EF 3.0 Acidification terrestrial and freshwater [Mole of H+ eq.]</t>
  </si>
  <si>
    <t>EF 3.0 Cancer human health effects [CTUh]</t>
  </si>
  <si>
    <t>EF 3.0 Cancer human health effects (Inorganic) [CTUh]</t>
  </si>
  <si>
    <t>EF 3.0 Cancer human health effects (Metal) [CTUh]</t>
  </si>
  <si>
    <t>EF 3.0 Climate Change [kg CO2 eq.]</t>
  </si>
  <si>
    <t>EF 3.0 Climate Change (biogenic) [kg CO2 eq.]</t>
  </si>
  <si>
    <t>EF 3.0 Climate Change (fossil) [kg CO2 eq.]</t>
  </si>
  <si>
    <t>EF 3.0 Climate Change (land use change) [kg CO2 eq.]</t>
  </si>
  <si>
    <t>EF 3.0 Ecotoxicity freshwater [CTUe]</t>
  </si>
  <si>
    <t>EF 3.0 Ecotoxicity freshwater (Inorganic) [CTUe]</t>
  </si>
  <si>
    <t>EF 3.0 Ecotoxicity freshwater (Metals) [CTUe]</t>
  </si>
  <si>
    <t>EF 3.0 Ecotoxicity freshwater (Organic) [CTUe]</t>
  </si>
  <si>
    <t>EF 3.0 Eutrophication freshwater [kg P eq.]</t>
  </si>
  <si>
    <t>EF 3.0 Eutrophication marine [kg N eq.]</t>
  </si>
  <si>
    <t>EF 3.0 Eutrophication terrestrial [Mole of N eq.]</t>
  </si>
  <si>
    <t>EF 3.0 Ionising radiation - human health [kBq U235 eq.]</t>
  </si>
  <si>
    <t>EF 3.0 Land Use [Pt]</t>
  </si>
  <si>
    <t>EF 3.0 Non-cancer human health effects [CTUh]</t>
  </si>
  <si>
    <t>EF 3.0 Non-cancer human health effects (Inorganic) [CTUh]</t>
  </si>
  <si>
    <t>EF 3.0 Non-cancer human health effects (Metals) [CTUh]</t>
  </si>
  <si>
    <t>EF 3.0 Non-cancer human health effects (Organic) [CTUh]</t>
  </si>
  <si>
    <t>EF 3.0 Ozone depletion [kg CFC-11 eq.]</t>
  </si>
  <si>
    <t>EF 3.0 Photochemical ozone formation - human health [kg NMVOC eq.]</t>
  </si>
  <si>
    <t>EF 3.0 Resource use, energy carriers [MJ]</t>
  </si>
  <si>
    <t>EF 3.0 Resource use, mineral and metals [kg Sb eq.]</t>
  </si>
  <si>
    <t>EF 3.0 Respiratory inorganics [Disease incidences]</t>
  </si>
  <si>
    <t>EF 3.0 Water scarcity [m³ world equiv.]</t>
  </si>
  <si>
    <t>Sensitivity Analysis</t>
  </si>
  <si>
    <t>Baseline</t>
  </si>
  <si>
    <t>index</t>
  </si>
  <si>
    <t>amount</t>
  </si>
  <si>
    <t>unit</t>
  </si>
  <si>
    <t>EF v3.0 | climate change | global warming potential (GWP100)</t>
  </si>
  <si>
    <t>kilogram</t>
  </si>
  <si>
    <t>Additive Manufacturing Semitrailer Energy</t>
  </si>
  <si>
    <t>Sub-assembly Truck Tractor Unit Energy</t>
  </si>
  <si>
    <t>Sub-assembly Semitrailer Unit Energy</t>
  </si>
  <si>
    <t>Final Assembly Energy</t>
  </si>
  <si>
    <t>Additive Manufacturing Cabin</t>
  </si>
  <si>
    <t xml:space="preserve">Diesel </t>
  </si>
  <si>
    <t>Truck, trailer transport</t>
  </si>
  <si>
    <t>kilowatt hour</t>
  </si>
  <si>
    <t>Total</t>
  </si>
  <si>
    <t>Δ %</t>
  </si>
  <si>
    <t>–10%</t>
  </si>
  <si>
    <t>x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</si>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</sst>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20"/>
      <color theme="0"/>
      <name val="Aptos Narrow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11" fontId="0" fillId="0" borderId="0" xfId="0" applyNumberFormat="1"/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1" fontId="0" fillId="0" borderId="12" xfId="0" applyNumberForma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22" xfId="0" applyBorder="1"/>
    <xf numFmtId="0" fontId="0" fillId="0" borderId="23" xfId="0" applyBorder="1"/>
    <xf numFmtId="11" fontId="0" fillId="0" borderId="23" xfId="0" applyNumberFormat="1" applyBorder="1"/>
    <xf numFmtId="0" fontId="0" fillId="0" borderId="24" xfId="0" applyBorder="1"/>
    <xf numFmtId="0" fontId="0" fillId="0" borderId="25" xfId="0" applyBorder="1"/>
    <xf numFmtId="11" fontId="0" fillId="0" borderId="25" xfId="0" applyNumberFormat="1" applyBorder="1"/>
    <xf numFmtId="0" fontId="0" fillId="0" borderId="26" xfId="0" applyBorder="1"/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1" fontId="4" fillId="0" borderId="0" xfId="0" applyNumberFormat="1" applyFont="1"/>
    <xf numFmtId="11" fontId="4" fillId="2" borderId="0" xfId="0" applyNumberFormat="1" applyFont="1" applyFill="1"/>
    <xf numFmtId="11" fontId="4" fillId="0" borderId="23" xfId="0" applyNumberFormat="1" applyFont="1" applyBorder="1"/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8" fillId="0" borderId="0" xfId="0" applyFont="1"/>
    <xf numFmtId="11" fontId="8" fillId="0" borderId="0" xfId="0" applyNumberFormat="1" applyFont="1"/>
    <xf numFmtId="0" fontId="0" fillId="5" borderId="0" xfId="0" applyFill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3" borderId="19" xfId="0" applyFont="1" applyFill="1" applyBorder="1"/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11" fontId="0" fillId="0" borderId="25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6" borderId="7" xfId="0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164" fontId="1" fillId="3" borderId="34" xfId="0" applyNumberFormat="1" applyFont="1" applyFill="1" applyBorder="1"/>
    <xf numFmtId="0" fontId="5" fillId="4" borderId="18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35" xfId="0" applyNumberFormat="1" applyBorder="1"/>
    <xf numFmtId="9" fontId="0" fillId="0" borderId="36" xfId="0" applyNumberFormat="1" applyBorder="1"/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>
                <a:solidFill>
                  <a:schemeClr val="tx1"/>
                </a:solidFill>
              </a:rPr>
              <a:t>Normalised</a:t>
            </a:r>
            <a:r>
              <a:rPr lang="en-GB" sz="2000" baseline="0">
                <a:solidFill>
                  <a:schemeClr val="tx1"/>
                </a:solidFill>
              </a:rPr>
              <a:t> Results</a:t>
            </a:r>
            <a:endParaRPr lang="en-GB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7334309795975321E-2"/>
          <c:y val="0.13832904060602058"/>
          <c:w val="0.89074076712979455"/>
          <c:h val="0.49011208701090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'Normalised Results'!$B$3:$B$29</c:f>
              <c:strCache>
                <c:ptCount val="27"/>
                <c:pt idx="0">
                  <c:v>EF 3.0 Acidification terrestrial and freshwater</c:v>
                </c:pt>
                <c:pt idx="1">
                  <c:v>EF 3.0 Cancer human health effects</c:v>
                </c:pt>
                <c:pt idx="2">
                  <c:v>EF 3.0 Cancer human health effects (Inorganic)</c:v>
                </c:pt>
                <c:pt idx="3">
                  <c:v>EF 3.0 Cancer human health effects (Metal)</c:v>
                </c:pt>
                <c:pt idx="4">
                  <c:v>EF 3.0 Climate Change</c:v>
                </c:pt>
                <c:pt idx="5">
                  <c:v>EF 3.0 Climate Change (biogenic)</c:v>
                </c:pt>
                <c:pt idx="6">
                  <c:v>EF 3.0 Climate Change (fossil)</c:v>
                </c:pt>
                <c:pt idx="7">
                  <c:v>EF 3.0 Climate Change (land use change)</c:v>
                </c:pt>
                <c:pt idx="8">
                  <c:v>EF 3.0 Ecotoxicity freshwater</c:v>
                </c:pt>
                <c:pt idx="9">
                  <c:v>EF 3.0 Ecotoxicity freshwater (Inorganic)</c:v>
                </c:pt>
                <c:pt idx="10">
                  <c:v>EF 3.0 Ecotoxicity freshwater (Metals)</c:v>
                </c:pt>
                <c:pt idx="11">
                  <c:v>EF 3.0 Ecotoxicity freshwater (Organic)</c:v>
                </c:pt>
                <c:pt idx="12">
                  <c:v>EF 3.0 Eutrophication freshwater</c:v>
                </c:pt>
                <c:pt idx="13">
                  <c:v>EF 3.0 Eutrophication marine</c:v>
                </c:pt>
                <c:pt idx="14">
                  <c:v>EF 3.0 Eutrophication terrestrial</c:v>
                </c:pt>
                <c:pt idx="15">
                  <c:v>EF 3.0 Ionising radiation - human health</c:v>
                </c:pt>
                <c:pt idx="16">
                  <c:v>EF 3.0 Land Use</c:v>
                </c:pt>
                <c:pt idx="17">
                  <c:v>EF 3.0 Non-cancer human health effects</c:v>
                </c:pt>
                <c:pt idx="18">
                  <c:v>EF 3.0 Non-cancer human health effects (Inorganic)</c:v>
                </c:pt>
                <c:pt idx="19">
                  <c:v>EF 3.0 Non-cancer human health effects (Metals)</c:v>
                </c:pt>
                <c:pt idx="20">
                  <c:v>EF 3.0 Non-cancer human health effects (Organic)</c:v>
                </c:pt>
                <c:pt idx="21">
                  <c:v>EF 3.0 Ozone depletion</c:v>
                </c:pt>
                <c:pt idx="22">
                  <c:v>EF 3.0 Photochemical ozone formation - human health</c:v>
                </c:pt>
                <c:pt idx="23">
                  <c:v>EF 3.0 Resource use, energy carriers</c:v>
                </c:pt>
                <c:pt idx="24">
                  <c:v>EF 3.0 Resource use, mineral and metals</c:v>
                </c:pt>
                <c:pt idx="25">
                  <c:v>EF 3.0 Respiratory inorganics</c:v>
                </c:pt>
                <c:pt idx="26">
                  <c:v>EF 3.0 Water scarcity</c:v>
                </c:pt>
              </c:strCache>
            </c:strRef>
          </c:cat>
          <c:val>
            <c:numRef>
              <c:f>'Normalised Results'!$C$3:$C$29</c:f>
              <c:numCache>
                <c:formatCode>General</c:formatCode>
                <c:ptCount val="27"/>
                <c:pt idx="0">
                  <c:v>2.7674499700156819E-3</c:v>
                </c:pt>
                <c:pt idx="1">
                  <c:v>1.0462818715210325E-3</c:v>
                </c:pt>
                <c:pt idx="2">
                  <c:v>7.2978929260136501E-4</c:v>
                </c:pt>
                <c:pt idx="3">
                  <c:v>3.1649201359756072E-4</c:v>
                </c:pt>
                <c:pt idx="4">
                  <c:v>6.5797495081881619E-3</c:v>
                </c:pt>
                <c:pt idx="5">
                  <c:v>4.0398609914263532E-5</c:v>
                </c:pt>
                <c:pt idx="6">
                  <c:v>6.5251236753711981E-3</c:v>
                </c:pt>
                <c:pt idx="7">
                  <c:v>1.4227228902706852E-5</c:v>
                </c:pt>
                <c:pt idx="8">
                  <c:v>4.6275067222738005E-2</c:v>
                </c:pt>
                <c:pt idx="9">
                  <c:v>1.8811177012461541E-3</c:v>
                </c:pt>
                <c:pt idx="10">
                  <c:v>4.3917705724933247E-2</c:v>
                </c:pt>
                <c:pt idx="11">
                  <c:v>4.7624376355861873E-4</c:v>
                </c:pt>
                <c:pt idx="12">
                  <c:v>4.4020398250482581E-2</c:v>
                </c:pt>
                <c:pt idx="13">
                  <c:v>2.0205217593271697E-3</c:v>
                </c:pt>
                <c:pt idx="14">
                  <c:v>1.6598748493012975E-3</c:v>
                </c:pt>
                <c:pt idx="15">
                  <c:v>2.8908022918849173E-3</c:v>
                </c:pt>
                <c:pt idx="16">
                  <c:v>2.9500705901660857E-4</c:v>
                </c:pt>
                <c:pt idx="17">
                  <c:v>3.9840696402240897E-3</c:v>
                </c:pt>
                <c:pt idx="18">
                  <c:v>5.1068513987001312E-4</c:v>
                </c:pt>
                <c:pt idx="19">
                  <c:v>3.3285008332826029E-3</c:v>
                </c:pt>
                <c:pt idx="20">
                  <c:v>1.6515822657069541E-4</c:v>
                </c:pt>
                <c:pt idx="21">
                  <c:v>1.2451637211280399E-5</c:v>
                </c:pt>
                <c:pt idx="22">
                  <c:v>1.1576952127088096E-3</c:v>
                </c:pt>
                <c:pt idx="23">
                  <c:v>2.2817591580773277E-3</c:v>
                </c:pt>
                <c:pt idx="24">
                  <c:v>1.4306741417179048E-2</c:v>
                </c:pt>
                <c:pt idx="25">
                  <c:v>1.0351802295532477E-2</c:v>
                </c:pt>
                <c:pt idx="26">
                  <c:v>1.6330865699916365E-3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1-4146-8021-2A601D6CB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929519"/>
        <c:axId val="1869296176"/>
      </c:barChart>
      <c:catAx>
        <c:axId val="104892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296176"/>
        <c:crosses val="autoZero"/>
        <c:auto val="1"/>
        <c:lblAlgn val="ctr"/>
        <c:lblOffset val="100"/>
        <c:noMultiLvlLbl val="0"/>
      </c:catAx>
      <c:valAx>
        <c:axId val="18692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2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aseline="0">
                <a:solidFill>
                  <a:schemeClr val="tx1"/>
                </a:solidFill>
              </a:rPr>
              <a:t>Climate Change Contribution Analysis </a:t>
            </a:r>
            <a:endParaRPr lang="en-GB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3482231590275176E-2"/>
          <c:y val="0.22323946731552011"/>
          <c:w val="0.36829556384643802"/>
          <c:h val="0.717506781375496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C3-2A46-91A2-7279FA34875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C3-2A46-91A2-7279FA34875C}"/>
              </c:ext>
            </c:extLst>
          </c:dPt>
          <c:dPt>
            <c:idx val="2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C3-2A46-91A2-7279FA34875C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C3-2A46-91A2-7279FA34875C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C3-2A46-91A2-7279FA34875C}"/>
              </c:ext>
            </c:extLst>
          </c:dPt>
          <c:dPt>
            <c:idx val="5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C3-2A46-91A2-7279FA3487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EC3-2A46-91A2-7279FA34875C}"/>
              </c:ext>
            </c:extLst>
          </c:dPt>
          <c:dPt>
            <c:idx val="7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EC3-2A46-91A2-7279FA34875C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EC3-2A46-91A2-7279FA34875C}"/>
              </c:ext>
            </c:extLst>
          </c:dPt>
          <c:dLbls>
            <c:dLbl>
              <c:idx val="3"/>
              <c:layout>
                <c:manualLayout>
                  <c:x val="1.3739953813222827E-2"/>
                  <c:y val="-2.530866341389430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C3-2A46-91A2-7279FA34875C}"/>
                </c:ext>
              </c:extLst>
            </c:dLbl>
            <c:dLbl>
              <c:idx val="4"/>
              <c:layout>
                <c:manualLayout>
                  <c:x val="-5.1198105390991518E-2"/>
                  <c:y val="-4.543069176482283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C3-2A46-91A2-7279FA34875C}"/>
                </c:ext>
              </c:extLst>
            </c:dLbl>
            <c:dLbl>
              <c:idx val="5"/>
              <c:layout>
                <c:manualLayout>
                  <c:x val="-3.0051749096054219E-2"/>
                  <c:y val="0.1107597346589129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C3-2A46-91A2-7279FA34875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'Normalised Results'!$D$2:$L$2</c:f>
              <c:strCache>
                <c:ptCount val="9"/>
                <c:pt idx="0">
                  <c:v>DE: Diesel mix at refinery </c:v>
                </c:pt>
                <c:pt idx="1">
                  <c:v>DE: Electricity Additive Manufacturing Cabin</c:v>
                </c:pt>
                <c:pt idx="2">
                  <c:v>DE: Electricity Additive Manufacturing Semitrailer</c:v>
                </c:pt>
                <c:pt idx="3">
                  <c:v>DE: Electricity Sub-assembly Truck Tractor Unit</c:v>
                </c:pt>
                <c:pt idx="4">
                  <c:v>DE: Electricity Final Assembly Truck</c:v>
                </c:pt>
                <c:pt idx="5">
                  <c:v>DE: Electricity Sub-assembly Semitrailer Unit</c:v>
                </c:pt>
                <c:pt idx="6">
                  <c:v>GLO: Truck, Euro 0 - 6 mix, up to 7.5t gross weight</c:v>
                </c:pt>
                <c:pt idx="7">
                  <c:v>GLO: polylactic acid production, granulate</c:v>
                </c:pt>
                <c:pt idx="8">
                  <c:v>GLO: polylactic acid production, granulate</c:v>
                </c:pt>
              </c:strCache>
            </c:strRef>
          </c:cat>
          <c:val>
            <c:numRef>
              <c:f>'Normalised Results'!$D$7:$L$7</c:f>
              <c:numCache>
                <c:formatCode>0.00E+00</c:formatCode>
                <c:ptCount val="9"/>
                <c:pt idx="0">
                  <c:v>4.3400000000000003E-9</c:v>
                </c:pt>
                <c:pt idx="1">
                  <c:v>3.1151415805440915E-5</c:v>
                </c:pt>
                <c:pt idx="2">
                  <c:v>1.2274190330178002E-4</c:v>
                </c:pt>
                <c:pt idx="3" formatCode="General">
                  <c:v>2.4497505339568788E-3</c:v>
                </c:pt>
                <c:pt idx="4" formatCode="General">
                  <c:v>1.9737073776861535E-3</c:v>
                </c:pt>
                <c:pt idx="5" formatCode="General">
                  <c:v>1.9737073776861535E-3</c:v>
                </c:pt>
                <c:pt idx="6">
                  <c:v>2.5911342652368E-8</c:v>
                </c:pt>
                <c:pt idx="7" formatCode="General">
                  <c:v>1.4330324204551187E-5</c:v>
                </c:pt>
                <c:pt idx="8" formatCode="General">
                  <c:v>1.4330324204551187E-5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EC3-2A46-91A2-7279FA348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736671969511884"/>
          <c:y val="0.14354771364032562"/>
          <c:w val="0.43428540164252127"/>
          <c:h val="0.76892346317413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>
                <a:solidFill>
                  <a:schemeClr val="tx1"/>
                </a:solidFill>
              </a:rPr>
              <a:t>Ecotoxicity</a:t>
            </a:r>
            <a:r>
              <a:rPr lang="en-GB" sz="2000" baseline="0">
                <a:solidFill>
                  <a:schemeClr val="tx1"/>
                </a:solidFill>
              </a:rPr>
              <a:t> Freshwater Contribution Analysis</a:t>
            </a:r>
            <a:endParaRPr lang="en-GB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3465847541331952"/>
          <c:y val="0.18638899385051091"/>
          <c:w val="0.34473443462635089"/>
          <c:h val="0.7325546047887123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46-6145-94D4-AD14F9E8E57D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46-6145-94D4-AD14F9E8E57D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46-6145-94D4-AD14F9E8E57D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46-6145-94D4-AD14F9E8E57D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646-6145-94D4-AD14F9E8E57D}"/>
              </c:ext>
            </c:extLst>
          </c:dPt>
          <c:dPt>
            <c:idx val="5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646-6145-94D4-AD14F9E8E5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646-6145-94D4-AD14F9E8E57D}"/>
              </c:ext>
            </c:extLst>
          </c:dPt>
          <c:dPt>
            <c:idx val="7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646-6145-94D4-AD14F9E8E57D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646-6145-94D4-AD14F9E8E57D}"/>
              </c:ext>
            </c:extLst>
          </c:dPt>
          <c:dLbls>
            <c:dLbl>
              <c:idx val="3"/>
              <c:layout>
                <c:manualLayout>
                  <c:x val="1.6417143742707117E-2"/>
                  <c:y val="-1.187149273809853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46-6145-94D4-AD14F9E8E57D}"/>
                </c:ext>
              </c:extLst>
            </c:dLbl>
            <c:dLbl>
              <c:idx val="4"/>
              <c:layout>
                <c:manualLayout>
                  <c:x val="-7.6110341306884502E-2"/>
                  <c:y val="-2.598651314099143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46-6145-94D4-AD14F9E8E57D}"/>
                </c:ext>
              </c:extLst>
            </c:dLbl>
            <c:dLbl>
              <c:idx val="5"/>
              <c:layout>
                <c:manualLayout>
                  <c:x val="-2.8823749270711786E-2"/>
                  <c:y val="0.1054553527783377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646-6145-94D4-AD14F9E8E57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'Normalised Results'!$D$2:$L$2</c:f>
              <c:strCache>
                <c:ptCount val="9"/>
                <c:pt idx="0">
                  <c:v>DE: Diesel mix at refinery </c:v>
                </c:pt>
                <c:pt idx="1">
                  <c:v>DE: Electricity Additive Manufacturing Cabin</c:v>
                </c:pt>
                <c:pt idx="2">
                  <c:v>DE: Electricity Additive Manufacturing Semitrailer</c:v>
                </c:pt>
                <c:pt idx="3">
                  <c:v>DE: Electricity Sub-assembly Truck Tractor Unit</c:v>
                </c:pt>
                <c:pt idx="4">
                  <c:v>DE: Electricity Final Assembly Truck</c:v>
                </c:pt>
                <c:pt idx="5">
                  <c:v>DE: Electricity Sub-assembly Semitrailer Unit</c:v>
                </c:pt>
                <c:pt idx="6">
                  <c:v>GLO: Truck, Euro 0 - 6 mix, up to 7.5t gross weight</c:v>
                </c:pt>
                <c:pt idx="7">
                  <c:v>GLO: polylactic acid production, granulate</c:v>
                </c:pt>
                <c:pt idx="8">
                  <c:v>GLO: polylactic acid production, granulate</c:v>
                </c:pt>
              </c:strCache>
            </c:strRef>
          </c:cat>
          <c:val>
            <c:numRef>
              <c:f>'Normalised Results'!$D$11:$L$11</c:f>
              <c:numCache>
                <c:formatCode>0.00E+00</c:formatCode>
                <c:ptCount val="9"/>
                <c:pt idx="0">
                  <c:v>6.2699999999999999E-8</c:v>
                </c:pt>
                <c:pt idx="1">
                  <c:v>2.190021930059072E-4</c:v>
                </c:pt>
                <c:pt idx="2">
                  <c:v>8.6290607671558298E-4</c:v>
                </c:pt>
                <c:pt idx="3" formatCode="General">
                  <c:v>1.7222354919747926E-2</c:v>
                </c:pt>
                <c:pt idx="4" formatCode="General">
                  <c:v>1.3875653253285193E-2</c:v>
                </c:pt>
                <c:pt idx="5" formatCode="General">
                  <c:v>1.3875653253285193E-2</c:v>
                </c:pt>
                <c:pt idx="6">
                  <c:v>1.03194004767426E-11</c:v>
                </c:pt>
                <c:pt idx="7" formatCode="General">
                  <c:v>1.0971740818940004E-4</c:v>
                </c:pt>
                <c:pt idx="8" formatCode="General">
                  <c:v>1.0971740818940004E-4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646-6145-94D4-AD14F9E8E5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012240170373119"/>
          <c:y val="0.14262474432764116"/>
          <c:w val="0.38473593883763918"/>
          <c:h val="0.75316800300896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>
                <a:solidFill>
                  <a:schemeClr val="tx1"/>
                </a:solidFill>
              </a:rPr>
              <a:t>Eutrophication Freshwater</a:t>
            </a:r>
            <a:r>
              <a:rPr lang="en-GB" sz="2000" baseline="0">
                <a:solidFill>
                  <a:schemeClr val="tx1"/>
                </a:solidFill>
              </a:rPr>
              <a:t> Contribution Analysis</a:t>
            </a:r>
            <a:endParaRPr lang="en-GB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D4-234F-8452-0D6BA188DA4E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D4-234F-8452-0D6BA188DA4E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D4-234F-8452-0D6BA188DA4E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D4-234F-8452-0D6BA188DA4E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D4-234F-8452-0D6BA188DA4E}"/>
              </c:ext>
            </c:extLst>
          </c:dPt>
          <c:dPt>
            <c:idx val="5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D4-234F-8452-0D6BA188DA4E}"/>
              </c:ext>
            </c:extLst>
          </c:dPt>
          <c:dPt>
            <c:idx val="6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D4-234F-8452-0D6BA188DA4E}"/>
              </c:ext>
            </c:extLst>
          </c:dPt>
          <c:dPt>
            <c:idx val="7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D4-234F-8452-0D6BA188DA4E}"/>
              </c:ext>
            </c:extLst>
          </c:dPt>
          <c:dPt>
            <c:idx val="8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4D4-234F-8452-0D6BA188DA4E}"/>
              </c:ext>
            </c:extLst>
          </c:dPt>
          <c:dLbls>
            <c:dLbl>
              <c:idx val="3"/>
              <c:layout>
                <c:manualLayout>
                  <c:x val="-7.1823526748734999E-4"/>
                  <c:y val="-3.66292738151018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D4-234F-8452-0D6BA188DA4E}"/>
                </c:ext>
              </c:extLst>
            </c:dLbl>
            <c:dLbl>
              <c:idx val="4"/>
              <c:layout>
                <c:manualLayout>
                  <c:x val="-2.8461001818626441E-2"/>
                  <c:y val="-2.336262082750186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D4-234F-8452-0D6BA188DA4E}"/>
                </c:ext>
              </c:extLst>
            </c:dLbl>
            <c:dLbl>
              <c:idx val="5"/>
              <c:layout>
                <c:manualLayout>
                  <c:x val="-2.6875930883481943E-2"/>
                  <c:y val="6.67808970813567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D4-234F-8452-0D6BA188DA4E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'Normalised Results'!$D$2:$L$2</c:f>
              <c:strCache>
                <c:ptCount val="9"/>
                <c:pt idx="0">
                  <c:v>DE: Diesel mix at refinery </c:v>
                </c:pt>
                <c:pt idx="1">
                  <c:v>DE: Electricity Additive Manufacturing Cabin</c:v>
                </c:pt>
                <c:pt idx="2">
                  <c:v>DE: Electricity Additive Manufacturing Semitrailer</c:v>
                </c:pt>
                <c:pt idx="3">
                  <c:v>DE: Electricity Sub-assembly Truck Tractor Unit</c:v>
                </c:pt>
                <c:pt idx="4">
                  <c:v>DE: Electricity Final Assembly Truck</c:v>
                </c:pt>
                <c:pt idx="5">
                  <c:v>DE: Electricity Sub-assembly Semitrailer Unit</c:v>
                </c:pt>
                <c:pt idx="6">
                  <c:v>GLO: Truck, Euro 0 - 6 mix, up to 7.5t gross weight</c:v>
                </c:pt>
                <c:pt idx="7">
                  <c:v>GLO: polylactic acid production, granulate</c:v>
                </c:pt>
                <c:pt idx="8">
                  <c:v>GLO: polylactic acid production, granulate</c:v>
                </c:pt>
              </c:strCache>
            </c:strRef>
          </c:cat>
          <c:val>
            <c:numRef>
              <c:f>'Normalised Results'!$D$15:$L$15</c:f>
              <c:numCache>
                <c:formatCode>0.00E+00</c:formatCode>
                <c:ptCount val="9"/>
                <c:pt idx="0">
                  <c:v>3.27368851004776E-10</c:v>
                </c:pt>
                <c:pt idx="1">
                  <c:v>2.0906415359974833E-4</c:v>
                </c:pt>
                <c:pt idx="2">
                  <c:v>8.2374850264516227E-4</c:v>
                </c:pt>
                <c:pt idx="3">
                  <c:v>1.6440826481561498E-2</c:v>
                </c:pt>
                <c:pt idx="4">
                  <c:v>1.3245993856159315E-2</c:v>
                </c:pt>
                <c:pt idx="5">
                  <c:v>1.3245993856159315E-2</c:v>
                </c:pt>
                <c:pt idx="6" formatCode="General">
                  <c:v>0</c:v>
                </c:pt>
                <c:pt idx="7" formatCode="General">
                  <c:v>2.738553649434799E-5</c:v>
                </c:pt>
                <c:pt idx="8" formatCode="General">
                  <c:v>2.738553649434799E-5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4D4-234F-8452-0D6BA188D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1195209174847878"/>
          <c:y val="0.16450735657259127"/>
          <c:w val="0.43372443667906646"/>
          <c:h val="0.74435423866308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nl-BE" sz="3200" b="0">
                <a:solidFill>
                  <a:schemeClr val="tx1"/>
                </a:solidFill>
              </a:rPr>
              <a:t>One-at-a-time</a:t>
            </a:r>
            <a:r>
              <a:rPr lang="nl-BE" sz="3200" b="0" baseline="0">
                <a:solidFill>
                  <a:schemeClr val="tx1"/>
                </a:solidFill>
              </a:rPr>
              <a:t> Sensitivity Analysis of the Toy Truck Manufacturing</a:t>
            </a:r>
            <a:endParaRPr lang="nl-BE" sz="3200" b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845720895034431"/>
          <c:y val="2.9875713630693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0.24128605942754641"/>
          <c:y val="0.10070930384179318"/>
          <c:w val="0.74741159139952551"/>
          <c:h val="0.7255161340103006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'Sensitivity Analysis'!$F$19</c:f>
              <c:strCache>
                <c:ptCount val="1"/>
                <c:pt idx="0">
                  <c:v>10%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'Sensitivity Analysis'!$B$4:$B$11</c15:sqref>
                  </c15:fullRef>
                </c:ext>
              </c:extLst>
              <c:f>'Sensitivity Analysis'!$B$4:$B$11</c:f>
              <c:strCache>
                <c:ptCount val="8"/>
                <c:pt idx="0">
                  <c:v>PLA</c:v>
                </c:pt>
                <c:pt idx="1">
                  <c:v>Additive Manufacturing Semitrailer Energy</c:v>
                </c:pt>
                <c:pt idx="2">
                  <c:v>Sub-assembly Truck Tractor Unit Energy</c:v>
                </c:pt>
                <c:pt idx="3">
                  <c:v>Sub-assembly Semitrailer Unit Energy</c:v>
                </c:pt>
                <c:pt idx="4">
                  <c:v>Final Assembly Energy</c:v>
                </c:pt>
                <c:pt idx="5">
                  <c:v>Additive Manufacturing Cabin</c:v>
                </c:pt>
                <c:pt idx="6">
                  <c:v>Diesel </c:v>
                </c:pt>
                <c:pt idx="7">
                  <c:v>Truck, trailer transport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'Sensitivity Analysis'!$G$13:$O$13</c15:sqref>
                  </c15:fullRef>
                </c:ext>
              </c:extLst>
              <c:f>'Sensitivity Analysis'!$G$13:$N$13</c:f>
              <c:numCache>
                <c:formatCode>0.00</c:formatCode>
                <c:ptCount val="8"/>
                <c:pt idx="0">
                  <c:v>-1.633037504142028E-3</c:v>
                </c:pt>
                <c:pt idx="1">
                  <c:v>-0.18732909478794538</c:v>
                </c:pt>
                <c:pt idx="2">
                  <c:v>3.7388179989155801</c:v>
                </c:pt>
                <c:pt idx="3">
                  <c:v>3.0122780871140264</c:v>
                </c:pt>
                <c:pt idx="4">
                  <c:v>3.0122780871140398</c:v>
                </c:pt>
                <c:pt idx="5">
                  <c:v>4.7617542177206859E-2</c:v>
                </c:pt>
                <c:pt idx="6">
                  <c:v>6.623722213120453E-6</c:v>
                </c:pt>
                <c:pt idx="7">
                  <c:v>-3.9528664821089E-5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2-4AA1-978A-F82FD6E33A35}"/>
            </c:ext>
          </c:extLst>
        </c:ser>
        <c:ser>
          <c:idx val="1"/>
          <c:order val="1"/>
          <c:tx>
            <c:strRef>
              <c:f>'Sensitivity Analysis'!$F$20</c:f>
              <c:strCache>
                <c:ptCount val="1"/>
                <c:pt idx="0">
                  <c:v>–10%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'Sensitivity Analysis'!$B$4:$B$11</c15:sqref>
                  </c15:fullRef>
                </c:ext>
              </c:extLst>
              <c:f>'Sensitivity Analysis'!$B$4:$B$11</c:f>
              <c:strCache>
                <c:ptCount val="8"/>
                <c:pt idx="0">
                  <c:v>PLA</c:v>
                </c:pt>
                <c:pt idx="1">
                  <c:v>Additive Manufacturing Semitrailer Energy</c:v>
                </c:pt>
                <c:pt idx="2">
                  <c:v>Sub-assembly Truck Tractor Unit Energy</c:v>
                </c:pt>
                <c:pt idx="3">
                  <c:v>Sub-assembly Semitrailer Unit Energy</c:v>
                </c:pt>
                <c:pt idx="4">
                  <c:v>Final Assembly Energy</c:v>
                </c:pt>
                <c:pt idx="5">
                  <c:v>Additive Manufacturing Cabin</c:v>
                </c:pt>
                <c:pt idx="6">
                  <c:v>Diesel </c:v>
                </c:pt>
                <c:pt idx="7">
                  <c:v>Truck, trailer transport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'Sensitivity Analysis'!$G$14:$O$14</c15:sqref>
                  </c15:fullRef>
                </c:ext>
              </c:extLst>
              <c:f>'Sensitivity Analysis'!$G$14:$N$14</c:f>
              <c:numCache>
                <c:formatCode>General</c:formatCode>
                <c:ptCount val="8"/>
                <c:pt idx="0">
                  <c:v>1.633037504142028E-3</c:v>
                </c:pt>
                <c:pt idx="1">
                  <c:v>0.18732909478794538</c:v>
                </c:pt>
                <c:pt idx="2">
                  <c:v>-3.7388179989155801</c:v>
                </c:pt>
                <c:pt idx="3">
                  <c:v>-3.0122780871140264</c:v>
                </c:pt>
                <c:pt idx="4">
                  <c:v>-3.0122780871140398</c:v>
                </c:pt>
                <c:pt idx="5">
                  <c:v>-4.7617542177206859E-2</c:v>
                </c:pt>
                <c:pt idx="6">
                  <c:v>-6.623722213120453E-6</c:v>
                </c:pt>
                <c:pt idx="7">
                  <c:v>3.9528664821089E-5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2-4AA1-978A-F82FD6E33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443016"/>
        <c:axId val="438443672"/>
      </c:barChart>
      <c:dateAx>
        <c:axId val="43844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38443672"/>
        <c:crosses val="autoZero"/>
        <c:auto val="0"/>
        <c:lblOffset val="100"/>
        <c:baseTimeUnit val="days"/>
      </c:dateAx>
      <c:valAx>
        <c:axId val="438443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 sz="2400">
                    <a:solidFill>
                      <a:schemeClr val="tx1"/>
                    </a:solidFill>
                  </a:rPr>
                  <a:t>Outcome Impact 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#;\−#,###;\ 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3844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602396940527342"/>
          <c:y val="0.11226981887056217"/>
          <c:w val="6.7528161134388323E-2"/>
          <c:h val="0.15170015987526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</xdr:row>
      <xdr:rowOff>9525</xdr:rowOff>
    </xdr:from>
    <xdr:to>
      <xdr:col>13</xdr:col>
      <xdr:colOff>257175</xdr:colOff>
      <xdr:row>21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DF452-C6B0-A8D0-A4F6-C2D837A8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2724150"/>
          <a:ext cx="7324725" cy="2924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1325753</xdr:colOff>
      <xdr:row>32</xdr:row>
      <xdr:rowOff>23324</xdr:rowOff>
    </xdr:from>
    <xdr:to>
      <xdr:col>12</xdr:col>
      <xdr:colOff>4904</xdr:colOff>
      <xdr:row>65</xdr:row>
      <xdr:rowOff>136801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F6BA4A89-0D11-5A43-8F8E-F65BD21E8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258586</xdr:colOff>
      <xdr:row>88</xdr:row>
      <xdr:rowOff>82826</xdr:rowOff>
    </xdr:from>
    <xdr:to>
      <xdr:col>6</xdr:col>
      <xdr:colOff>3478695</xdr:colOff>
      <xdr:row>112</xdr:row>
      <xdr:rowOff>27607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63322465-4838-774A-80D8-70293250AC8E}"/>
            </a:ext>
            <a:ext uri="{147F2762-F138-4A5C-976F-8EAC2B608ADB}">
              <a16:predDERef xmlns:a16="http://schemas.microsoft.com/office/drawing/2014/main" pred="{F6BA4A89-0D11-5A43-8F8E-F65BD21E8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241715</xdr:colOff>
      <xdr:row>32</xdr:row>
      <xdr:rowOff>66674</xdr:rowOff>
    </xdr:from>
    <xdr:to>
      <xdr:col>7</xdr:col>
      <xdr:colOff>27609</xdr:colOff>
      <xdr:row>58</xdr:row>
      <xdr:rowOff>165652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36E396E-AFF0-9E46-8B4D-90F538662466}"/>
            </a:ext>
            <a:ext uri="{147F2762-F138-4A5C-976F-8EAC2B608ADB}">
              <a16:predDERef xmlns:a16="http://schemas.microsoft.com/office/drawing/2014/main" pred="{63322465-4838-774A-80D8-70293250A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193263</xdr:colOff>
      <xdr:row>62</xdr:row>
      <xdr:rowOff>55217</xdr:rowOff>
    </xdr:from>
    <xdr:to>
      <xdr:col>7</xdr:col>
      <xdr:colOff>110436</xdr:colOff>
      <xdr:row>83</xdr:row>
      <xdr:rowOff>82826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9A3A51DC-F581-7646-9048-DFD7295C610E}"/>
            </a:ext>
            <a:ext uri="{147F2762-F138-4A5C-976F-8EAC2B608ADB}">
              <a16:predDERef xmlns:a16="http://schemas.microsoft.com/office/drawing/2014/main" pred="{036E396E-AFF0-9E46-8B4D-90F538662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1</xdr:row>
      <xdr:rowOff>0</xdr:rowOff>
    </xdr:from>
    <xdr:to>
      <xdr:col>45</xdr:col>
      <xdr:colOff>238125</xdr:colOff>
      <xdr:row>25</xdr:row>
      <xdr:rowOff>26459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D7B9245-6210-45AC-BAF7-FE51E42D2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3A84-6BEA-4C48-9AB2-DF3CB699C364}">
  <dimension ref="B2:O26"/>
  <sheetViews>
    <sheetView zoomScale="85" workbookViewId="0">
      <selection activeCell="I35" sqref="I35"/>
    </sheetView>
  </sheetViews>
  <sheetFormatPr baseColWidth="10" defaultColWidth="10.6640625" defaultRowHeight="15" x14ac:dyDescent="0.2"/>
  <sheetData>
    <row r="2" spans="2:15" x14ac:dyDescent="0.2"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2:15" x14ac:dyDescent="0.2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2:15" x14ac:dyDescent="0.2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2:15" x14ac:dyDescent="0.2"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</row>
    <row r="6" spans="2:15" x14ac:dyDescent="0.2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</row>
    <row r="7" spans="2:15" x14ac:dyDescent="0.2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</row>
    <row r="8" spans="2:15" x14ac:dyDescent="0.2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</row>
    <row r="9" spans="2:15" x14ac:dyDescent="0.2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</row>
    <row r="10" spans="2:15" x14ac:dyDescent="0.2"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</row>
    <row r="11" spans="2:15" x14ac:dyDescent="0.2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spans="2:15" x14ac:dyDescent="0.2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spans="2:15" x14ac:dyDescent="0.2"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</row>
    <row r="14" spans="2:15" x14ac:dyDescent="0.2"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</row>
    <row r="15" spans="2:15" x14ac:dyDescent="0.2"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</row>
    <row r="16" spans="2:15" x14ac:dyDescent="0.2"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spans="2:15" x14ac:dyDescent="0.2"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</row>
    <row r="18" spans="2:15" x14ac:dyDescent="0.2"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spans="2:15" x14ac:dyDescent="0.2"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 spans="2:15" x14ac:dyDescent="0.2"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</row>
    <row r="21" spans="2:15" x14ac:dyDescent="0.2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2" spans="2:15" x14ac:dyDescent="0.2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 spans="2:15" x14ac:dyDescent="0.2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</row>
    <row r="24" spans="2:15" x14ac:dyDescent="0.2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spans="2:15" x14ac:dyDescent="0.2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 spans="2:15" x14ac:dyDescent="0.2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6ED4-AC2F-4D6D-AB80-F1B1E6C3812D}">
  <sheetPr>
    <tabColor rgb="FF92D050"/>
  </sheetPr>
  <dimension ref="B1:H89"/>
  <sheetViews>
    <sheetView topLeftCell="A56" workbookViewId="0">
      <selection activeCell="C90" sqref="C90"/>
    </sheetView>
  </sheetViews>
  <sheetFormatPr baseColWidth="10" defaultColWidth="8.83203125" defaultRowHeight="15" x14ac:dyDescent="0.2"/>
  <cols>
    <col min="2" max="2" width="29" customWidth="1"/>
    <col min="3" max="3" width="18.6640625" customWidth="1"/>
    <col min="4" max="4" width="14.5" customWidth="1"/>
  </cols>
  <sheetData>
    <row r="1" spans="2:4" ht="16" thickBot="1" x14ac:dyDescent="0.25"/>
    <row r="2" spans="2:4" x14ac:dyDescent="0.2">
      <c r="B2" s="80" t="s">
        <v>0</v>
      </c>
      <c r="C2" s="81"/>
      <c r="D2" s="82"/>
    </row>
    <row r="3" spans="2:4" x14ac:dyDescent="0.2">
      <c r="B3" s="20" t="s">
        <v>1</v>
      </c>
      <c r="C3" s="19" t="s">
        <v>2</v>
      </c>
      <c r="D3" s="21" t="s">
        <v>3</v>
      </c>
    </row>
    <row r="4" spans="2:4" x14ac:dyDescent="0.2">
      <c r="B4" s="22" t="s">
        <v>4</v>
      </c>
      <c r="C4" s="56">
        <v>3.5999999999999997E-2</v>
      </c>
      <c r="D4" s="23" t="s">
        <v>5</v>
      </c>
    </row>
    <row r="5" spans="2:4" x14ac:dyDescent="0.2">
      <c r="B5" s="22" t="s">
        <v>6</v>
      </c>
      <c r="C5" s="56">
        <v>0.42099999999999999</v>
      </c>
      <c r="D5" s="23" t="s">
        <v>7</v>
      </c>
    </row>
    <row r="6" spans="2:4" x14ac:dyDescent="0.2">
      <c r="B6" s="22"/>
      <c r="C6" s="56"/>
      <c r="D6" s="23"/>
    </row>
    <row r="7" spans="2:4" x14ac:dyDescent="0.2">
      <c r="B7" s="20" t="s">
        <v>8</v>
      </c>
      <c r="C7" s="19" t="s">
        <v>2</v>
      </c>
      <c r="D7" s="21" t="s">
        <v>3</v>
      </c>
    </row>
    <row r="8" spans="2:4" ht="16" thickBot="1" x14ac:dyDescent="0.25">
      <c r="B8" s="24" t="s">
        <v>9</v>
      </c>
      <c r="C8" s="25">
        <v>3.5999999999999997E-2</v>
      </c>
      <c r="D8" s="26" t="s">
        <v>5</v>
      </c>
    </row>
    <row r="9" spans="2:4" x14ac:dyDescent="0.2">
      <c r="B9" s="56"/>
      <c r="C9" s="56"/>
      <c r="D9" s="56"/>
    </row>
    <row r="10" spans="2:4" x14ac:dyDescent="0.2">
      <c r="B10" s="56"/>
      <c r="C10" s="56"/>
      <c r="D10" s="56"/>
    </row>
    <row r="11" spans="2:4" ht="16" thickBot="1" x14ac:dyDescent="0.25">
      <c r="B11" s="56"/>
      <c r="C11" s="56"/>
      <c r="D11" s="56"/>
    </row>
    <row r="12" spans="2:4" x14ac:dyDescent="0.2">
      <c r="B12" s="80" t="s">
        <v>10</v>
      </c>
      <c r="C12" s="81"/>
      <c r="D12" s="82"/>
    </row>
    <row r="13" spans="2:4" x14ac:dyDescent="0.2">
      <c r="B13" s="20" t="s">
        <v>1</v>
      </c>
      <c r="C13" s="19" t="s">
        <v>2</v>
      </c>
      <c r="D13" s="21" t="s">
        <v>3</v>
      </c>
    </row>
    <row r="14" spans="2:4" x14ac:dyDescent="0.2">
      <c r="B14" s="22" t="s">
        <v>11</v>
      </c>
      <c r="C14" s="56">
        <v>8.6199999999999992E-3</v>
      </c>
      <c r="D14" s="23" t="s">
        <v>5</v>
      </c>
    </row>
    <row r="15" spans="2:4" x14ac:dyDescent="0.2">
      <c r="B15" s="22" t="s">
        <v>12</v>
      </c>
      <c r="C15" s="27">
        <v>6.8100000000000002E-5</v>
      </c>
      <c r="D15" s="23" t="s">
        <v>5</v>
      </c>
    </row>
    <row r="16" spans="2:4" x14ac:dyDescent="0.2">
      <c r="B16" s="22"/>
      <c r="C16" s="56"/>
      <c r="D16" s="23"/>
    </row>
    <row r="17" spans="2:4" x14ac:dyDescent="0.2">
      <c r="B17" s="20" t="s">
        <v>8</v>
      </c>
      <c r="C17" s="19" t="s">
        <v>2</v>
      </c>
      <c r="D17" s="21" t="s">
        <v>3</v>
      </c>
    </row>
    <row r="18" spans="2:4" ht="16" thickBot="1" x14ac:dyDescent="0.25">
      <c r="B18" s="24" t="s">
        <v>13</v>
      </c>
      <c r="C18" s="25">
        <v>8.6199999999999992E-3</v>
      </c>
      <c r="D18" s="26" t="s">
        <v>5</v>
      </c>
    </row>
    <row r="19" spans="2:4" x14ac:dyDescent="0.2">
      <c r="B19" s="56"/>
      <c r="C19" s="56"/>
      <c r="D19" s="56"/>
    </row>
    <row r="20" spans="2:4" x14ac:dyDescent="0.2">
      <c r="B20" s="56"/>
      <c r="C20" s="56"/>
      <c r="D20" s="56"/>
    </row>
    <row r="21" spans="2:4" ht="16" thickBot="1" x14ac:dyDescent="0.25">
      <c r="B21" s="56"/>
      <c r="C21" s="56"/>
      <c r="D21" s="56"/>
    </row>
    <row r="22" spans="2:4" x14ac:dyDescent="0.2">
      <c r="B22" s="80" t="s">
        <v>14</v>
      </c>
      <c r="C22" s="81"/>
      <c r="D22" s="82"/>
    </row>
    <row r="23" spans="2:4" x14ac:dyDescent="0.2">
      <c r="B23" s="20" t="s">
        <v>1</v>
      </c>
      <c r="C23" s="19" t="s">
        <v>2</v>
      </c>
      <c r="D23" s="21" t="s">
        <v>15</v>
      </c>
    </row>
    <row r="24" spans="2:4" x14ac:dyDescent="0.2">
      <c r="B24" s="22" t="s">
        <v>16</v>
      </c>
      <c r="C24" s="56">
        <v>3.5999999999999997E-2</v>
      </c>
      <c r="D24" s="23" t="s">
        <v>5</v>
      </c>
    </row>
    <row r="25" spans="2:4" x14ac:dyDescent="0.2">
      <c r="B25" s="22" t="s">
        <v>6</v>
      </c>
      <c r="C25" s="56">
        <v>1.66</v>
      </c>
      <c r="D25" s="23" t="s">
        <v>7</v>
      </c>
    </row>
    <row r="26" spans="2:4" x14ac:dyDescent="0.2">
      <c r="B26" s="22"/>
      <c r="C26" s="56"/>
      <c r="D26" s="23"/>
    </row>
    <row r="27" spans="2:4" x14ac:dyDescent="0.2">
      <c r="B27" s="20" t="s">
        <v>8</v>
      </c>
      <c r="C27" s="19" t="s">
        <v>2</v>
      </c>
      <c r="D27" s="21" t="s">
        <v>3</v>
      </c>
    </row>
    <row r="28" spans="2:4" ht="16" thickBot="1" x14ac:dyDescent="0.25">
      <c r="B28" s="24" t="s">
        <v>17</v>
      </c>
      <c r="C28" s="25">
        <v>3.5999999999999997E-2</v>
      </c>
      <c r="D28" s="26" t="s">
        <v>5</v>
      </c>
    </row>
    <row r="29" spans="2:4" x14ac:dyDescent="0.2">
      <c r="B29" s="56"/>
      <c r="C29" s="56"/>
      <c r="D29" s="56"/>
    </row>
    <row r="30" spans="2:4" x14ac:dyDescent="0.2">
      <c r="B30" s="56"/>
      <c r="C30" s="56"/>
      <c r="D30" s="56"/>
    </row>
    <row r="31" spans="2:4" ht="16" thickBot="1" x14ac:dyDescent="0.25">
      <c r="B31" s="56"/>
      <c r="C31" s="56"/>
      <c r="D31" s="56"/>
    </row>
    <row r="32" spans="2:4" x14ac:dyDescent="0.2">
      <c r="B32" s="80" t="s">
        <v>18</v>
      </c>
      <c r="C32" s="81"/>
      <c r="D32" s="82"/>
    </row>
    <row r="33" spans="2:4" x14ac:dyDescent="0.2">
      <c r="B33" s="20" t="s">
        <v>1</v>
      </c>
      <c r="C33" s="19" t="s">
        <v>2</v>
      </c>
      <c r="D33" s="21" t="s">
        <v>15</v>
      </c>
    </row>
    <row r="34" spans="2:4" x14ac:dyDescent="0.2">
      <c r="B34" s="22" t="s">
        <v>19</v>
      </c>
      <c r="C34" s="56">
        <v>3.5999999999999999E-3</v>
      </c>
      <c r="D34" s="23" t="s">
        <v>5</v>
      </c>
    </row>
    <row r="35" spans="2:4" x14ac:dyDescent="0.2">
      <c r="B35" s="22"/>
      <c r="C35" s="56"/>
      <c r="D35" s="23"/>
    </row>
    <row r="36" spans="2:4" x14ac:dyDescent="0.2">
      <c r="B36" s="20" t="s">
        <v>8</v>
      </c>
      <c r="C36" s="19" t="s">
        <v>2</v>
      </c>
      <c r="D36" s="21" t="s">
        <v>3</v>
      </c>
    </row>
    <row r="37" spans="2:4" ht="16" thickBot="1" x14ac:dyDescent="0.25">
      <c r="B37" s="24" t="s">
        <v>20</v>
      </c>
      <c r="C37" s="25">
        <v>3.5999999999999999E-3</v>
      </c>
      <c r="D37" s="26" t="s">
        <v>5</v>
      </c>
    </row>
    <row r="38" spans="2:4" x14ac:dyDescent="0.2">
      <c r="B38" s="56"/>
      <c r="C38" s="56"/>
      <c r="D38" s="56"/>
    </row>
    <row r="39" spans="2:4" x14ac:dyDescent="0.2">
      <c r="B39" s="56"/>
      <c r="C39" s="56"/>
      <c r="D39" s="56"/>
    </row>
    <row r="40" spans="2:4" ht="16" thickBot="1" x14ac:dyDescent="0.25">
      <c r="B40" s="56"/>
      <c r="C40" s="56"/>
      <c r="D40" s="56"/>
    </row>
    <row r="41" spans="2:4" x14ac:dyDescent="0.2">
      <c r="B41" s="80" t="s">
        <v>21</v>
      </c>
      <c r="C41" s="81"/>
      <c r="D41" s="82"/>
    </row>
    <row r="42" spans="2:4" x14ac:dyDescent="0.2">
      <c r="B42" s="20" t="s">
        <v>1</v>
      </c>
      <c r="C42" s="19" t="s">
        <v>2</v>
      </c>
      <c r="D42" s="21" t="s">
        <v>15</v>
      </c>
    </row>
    <row r="43" spans="2:4" x14ac:dyDescent="0.2">
      <c r="B43" s="22" t="s">
        <v>22</v>
      </c>
      <c r="C43" s="56">
        <v>4.8199999999999996E-3</v>
      </c>
      <c r="D43" s="23" t="s">
        <v>5</v>
      </c>
    </row>
    <row r="44" spans="2:4" x14ac:dyDescent="0.2">
      <c r="B44" s="22"/>
      <c r="C44" s="56"/>
      <c r="D44" s="23"/>
    </row>
    <row r="45" spans="2:4" x14ac:dyDescent="0.2">
      <c r="B45" s="20" t="s">
        <v>8</v>
      </c>
      <c r="C45" s="19" t="s">
        <v>2</v>
      </c>
      <c r="D45" s="21" t="s">
        <v>3</v>
      </c>
    </row>
    <row r="46" spans="2:4" ht="16" thickBot="1" x14ac:dyDescent="0.25">
      <c r="B46" s="24" t="s">
        <v>23</v>
      </c>
      <c r="C46" s="25">
        <v>4.8199999999999996E-3</v>
      </c>
      <c r="D46" s="26" t="s">
        <v>5</v>
      </c>
    </row>
    <row r="47" spans="2:4" x14ac:dyDescent="0.2">
      <c r="B47" s="56"/>
      <c r="C47" s="56"/>
      <c r="D47" s="56"/>
    </row>
    <row r="48" spans="2:4" x14ac:dyDescent="0.2">
      <c r="B48" s="56"/>
      <c r="C48" s="56"/>
      <c r="D48" s="56"/>
    </row>
    <row r="49" spans="2:8" ht="16" thickBot="1" x14ac:dyDescent="0.25">
      <c r="B49" s="56"/>
      <c r="C49" s="56"/>
      <c r="D49" s="56"/>
    </row>
    <row r="50" spans="2:8" x14ac:dyDescent="0.2">
      <c r="B50" s="80" t="s">
        <v>24</v>
      </c>
      <c r="C50" s="81"/>
      <c r="D50" s="82"/>
    </row>
    <row r="51" spans="2:8" x14ac:dyDescent="0.2">
      <c r="B51" s="20" t="s">
        <v>1</v>
      </c>
      <c r="C51" s="19" t="s">
        <v>2</v>
      </c>
      <c r="D51" s="21" t="s">
        <v>15</v>
      </c>
    </row>
    <row r="52" spans="2:8" x14ac:dyDescent="0.2">
      <c r="B52" s="22" t="s">
        <v>25</v>
      </c>
      <c r="C52" s="56">
        <v>2.0000000000000001E-4</v>
      </c>
      <c r="D52" s="23" t="s">
        <v>5</v>
      </c>
    </row>
    <row r="53" spans="2:8" x14ac:dyDescent="0.2">
      <c r="B53" s="22" t="s">
        <v>17</v>
      </c>
      <c r="C53" s="56">
        <v>3.5999999999999997E-2</v>
      </c>
      <c r="D53" s="23" t="s">
        <v>5</v>
      </c>
    </row>
    <row r="54" spans="2:8" x14ac:dyDescent="0.2">
      <c r="B54" s="22"/>
      <c r="C54" s="56"/>
      <c r="D54" s="23"/>
    </row>
    <row r="55" spans="2:8" x14ac:dyDescent="0.2">
      <c r="B55" s="20" t="s">
        <v>8</v>
      </c>
      <c r="C55" s="19" t="s">
        <v>2</v>
      </c>
      <c r="D55" s="21" t="s">
        <v>3</v>
      </c>
    </row>
    <row r="56" spans="2:8" ht="16" thickBot="1" x14ac:dyDescent="0.25">
      <c r="B56" s="24" t="s">
        <v>26</v>
      </c>
      <c r="C56" s="25">
        <v>3.62E-3</v>
      </c>
      <c r="D56" s="26" t="s">
        <v>5</v>
      </c>
    </row>
    <row r="57" spans="2:8" x14ac:dyDescent="0.2">
      <c r="B57" s="56"/>
      <c r="C57" s="56"/>
      <c r="D57" s="56"/>
    </row>
    <row r="58" spans="2:8" x14ac:dyDescent="0.2">
      <c r="B58" s="56"/>
      <c r="C58" s="56"/>
      <c r="D58" s="56"/>
    </row>
    <row r="59" spans="2:8" ht="16" thickBot="1" x14ac:dyDescent="0.25">
      <c r="B59" s="56"/>
      <c r="C59" s="56"/>
      <c r="D59" s="56"/>
      <c r="F59" s="83"/>
      <c r="G59" s="83"/>
      <c r="H59" s="83"/>
    </row>
    <row r="60" spans="2:8" x14ac:dyDescent="0.2">
      <c r="B60" s="80" t="s">
        <v>27</v>
      </c>
      <c r="C60" s="81"/>
      <c r="D60" s="82"/>
    </row>
    <row r="61" spans="2:8" x14ac:dyDescent="0.2">
      <c r="B61" s="20" t="s">
        <v>1</v>
      </c>
      <c r="C61" s="19" t="s">
        <v>2</v>
      </c>
      <c r="D61" s="21" t="s">
        <v>15</v>
      </c>
    </row>
    <row r="62" spans="2:8" x14ac:dyDescent="0.2">
      <c r="B62" s="22" t="s">
        <v>28</v>
      </c>
      <c r="C62" s="56">
        <v>3.5999999999999997E-2</v>
      </c>
      <c r="D62" s="23" t="s">
        <v>5</v>
      </c>
    </row>
    <row r="63" spans="2:8" x14ac:dyDescent="0.2">
      <c r="B63" s="22" t="s">
        <v>20</v>
      </c>
      <c r="C63" s="56">
        <v>3.5999999999999999E-3</v>
      </c>
      <c r="D63" s="23" t="s">
        <v>5</v>
      </c>
    </row>
    <row r="64" spans="2:8" x14ac:dyDescent="0.2">
      <c r="B64" s="22" t="s">
        <v>29</v>
      </c>
      <c r="C64" s="56">
        <v>33.1</v>
      </c>
      <c r="D64" s="23" t="s">
        <v>7</v>
      </c>
      <c r="E64" s="83"/>
      <c r="F64" s="83"/>
      <c r="G64" s="83"/>
    </row>
    <row r="65" spans="2:4" x14ac:dyDescent="0.2">
      <c r="B65" s="22"/>
      <c r="C65" s="56"/>
      <c r="D65" s="23"/>
    </row>
    <row r="66" spans="2:4" x14ac:dyDescent="0.2">
      <c r="B66" s="20" t="s">
        <v>8</v>
      </c>
      <c r="C66" s="19" t="s">
        <v>2</v>
      </c>
      <c r="D66" s="21" t="s">
        <v>3</v>
      </c>
    </row>
    <row r="67" spans="2:4" ht="16" thickBot="1" x14ac:dyDescent="0.25">
      <c r="B67" s="24" t="s">
        <v>30</v>
      </c>
      <c r="C67" s="25">
        <v>3.9600000000000003E-2</v>
      </c>
      <c r="D67" s="26" t="s">
        <v>5</v>
      </c>
    </row>
    <row r="68" spans="2:4" x14ac:dyDescent="0.2">
      <c r="B68" s="56"/>
      <c r="C68" s="56"/>
      <c r="D68" s="56"/>
    </row>
    <row r="69" spans="2:4" x14ac:dyDescent="0.2">
      <c r="B69" s="56"/>
      <c r="C69" s="56"/>
      <c r="D69" s="56"/>
    </row>
    <row r="70" spans="2:4" ht="16" thickBot="1" x14ac:dyDescent="0.25">
      <c r="B70" s="56"/>
      <c r="C70" s="56"/>
      <c r="D70" s="56"/>
    </row>
    <row r="71" spans="2:4" x14ac:dyDescent="0.2">
      <c r="B71" s="80" t="s">
        <v>31</v>
      </c>
      <c r="C71" s="81"/>
      <c r="D71" s="82"/>
    </row>
    <row r="72" spans="2:4" x14ac:dyDescent="0.2">
      <c r="B72" s="20" t="s">
        <v>1</v>
      </c>
      <c r="C72" s="19" t="s">
        <v>2</v>
      </c>
      <c r="D72" s="21" t="s">
        <v>15</v>
      </c>
    </row>
    <row r="73" spans="2:4" x14ac:dyDescent="0.2">
      <c r="B73" s="22" t="s">
        <v>23</v>
      </c>
      <c r="C73" s="56">
        <v>4.8199999999999996E-3</v>
      </c>
      <c r="D73" s="23" t="s">
        <v>5</v>
      </c>
    </row>
    <row r="74" spans="2:4" x14ac:dyDescent="0.2">
      <c r="B74" s="22" t="s">
        <v>26</v>
      </c>
      <c r="C74" s="56">
        <v>3.6200000000000003E-2</v>
      </c>
      <c r="D74" s="23" t="s">
        <v>5</v>
      </c>
    </row>
    <row r="75" spans="2:4" x14ac:dyDescent="0.2">
      <c r="B75" s="22" t="s">
        <v>29</v>
      </c>
      <c r="C75" s="56">
        <v>26.7</v>
      </c>
      <c r="D75" s="23" t="s">
        <v>7</v>
      </c>
    </row>
    <row r="76" spans="2:4" x14ac:dyDescent="0.2">
      <c r="B76" s="22"/>
      <c r="C76" s="56"/>
      <c r="D76" s="23"/>
    </row>
    <row r="77" spans="2:4" x14ac:dyDescent="0.2">
      <c r="B77" s="20" t="s">
        <v>8</v>
      </c>
      <c r="C77" s="19" t="s">
        <v>2</v>
      </c>
      <c r="D77" s="21" t="s">
        <v>15</v>
      </c>
    </row>
    <row r="78" spans="2:4" ht="16" thickBot="1" x14ac:dyDescent="0.25">
      <c r="B78" s="24" t="s">
        <v>32</v>
      </c>
      <c r="C78" s="25">
        <f>C73+C74</f>
        <v>4.1020000000000001E-2</v>
      </c>
      <c r="D78" s="26" t="s">
        <v>5</v>
      </c>
    </row>
    <row r="79" spans="2:4" x14ac:dyDescent="0.2">
      <c r="B79" s="56"/>
      <c r="C79" s="56"/>
      <c r="D79" s="56"/>
    </row>
    <row r="80" spans="2:4" x14ac:dyDescent="0.2">
      <c r="B80" s="56"/>
      <c r="C80" s="56"/>
      <c r="D80" s="56"/>
    </row>
    <row r="81" spans="2:4" ht="16" thickBot="1" x14ac:dyDescent="0.25">
      <c r="B81" s="56"/>
      <c r="C81" s="56"/>
      <c r="D81" s="56"/>
    </row>
    <row r="82" spans="2:4" x14ac:dyDescent="0.2">
      <c r="B82" s="80" t="s">
        <v>33</v>
      </c>
      <c r="C82" s="81"/>
      <c r="D82" s="82"/>
    </row>
    <row r="83" spans="2:4" x14ac:dyDescent="0.2">
      <c r="B83" s="20" t="s">
        <v>1</v>
      </c>
      <c r="C83" s="19" t="s">
        <v>2</v>
      </c>
      <c r="D83" s="21" t="s">
        <v>15</v>
      </c>
    </row>
    <row r="84" spans="2:4" x14ac:dyDescent="0.2">
      <c r="B84" s="22" t="s">
        <v>30</v>
      </c>
      <c r="C84" s="56">
        <v>3.9600000000000003E-2</v>
      </c>
      <c r="D84" s="23" t="s">
        <v>5</v>
      </c>
    </row>
    <row r="85" spans="2:4" x14ac:dyDescent="0.2">
      <c r="B85" s="22" t="s">
        <v>32</v>
      </c>
      <c r="C85" s="56">
        <v>4.1020000000000001E-2</v>
      </c>
      <c r="D85" s="23" t="s">
        <v>5</v>
      </c>
    </row>
    <row r="86" spans="2:4" x14ac:dyDescent="0.2">
      <c r="B86" s="22" t="s">
        <v>29</v>
      </c>
      <c r="C86" s="56">
        <v>26.7</v>
      </c>
      <c r="D86" s="23" t="s">
        <v>7</v>
      </c>
    </row>
    <row r="87" spans="2:4" x14ac:dyDescent="0.2">
      <c r="B87" s="22"/>
      <c r="C87" s="56"/>
      <c r="D87" s="23"/>
    </row>
    <row r="88" spans="2:4" x14ac:dyDescent="0.2">
      <c r="B88" s="20" t="s">
        <v>8</v>
      </c>
      <c r="C88" s="19" t="s">
        <v>2</v>
      </c>
      <c r="D88" s="21" t="s">
        <v>15</v>
      </c>
    </row>
    <row r="89" spans="2:4" ht="16" thickBot="1" x14ac:dyDescent="0.25">
      <c r="B89" s="24" t="s">
        <v>34</v>
      </c>
      <c r="C89" s="25">
        <f>C84+C85</f>
        <v>8.0619999999999997E-2</v>
      </c>
      <c r="D89" s="26" t="s">
        <v>5</v>
      </c>
    </row>
  </sheetData>
  <mergeCells count="11">
    <mergeCell ref="F59:H59"/>
    <mergeCell ref="E64:G64"/>
    <mergeCell ref="B12:D12"/>
    <mergeCell ref="B2:D2"/>
    <mergeCell ref="B22:D22"/>
    <mergeCell ref="B32:D32"/>
    <mergeCell ref="B82:D82"/>
    <mergeCell ref="B71:D71"/>
    <mergeCell ref="B60:D60"/>
    <mergeCell ref="B50:D50"/>
    <mergeCell ref="B41:D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FB02-50B2-4BE4-85B1-69CEC266205B}">
  <sheetPr>
    <tabColor rgb="FFFFC000"/>
  </sheetPr>
  <dimension ref="B1:L48"/>
  <sheetViews>
    <sheetView zoomScale="87" workbookViewId="0">
      <selection activeCell="G32" sqref="G32"/>
    </sheetView>
  </sheetViews>
  <sheetFormatPr baseColWidth="10" defaultColWidth="8.83203125" defaultRowHeight="15" x14ac:dyDescent="0.2"/>
  <cols>
    <col min="2" max="2" width="23.1640625" customWidth="1"/>
    <col min="3" max="4" width="15.83203125" customWidth="1"/>
    <col min="5" max="5" width="13" customWidth="1"/>
    <col min="6" max="6" width="12.1640625" customWidth="1"/>
    <col min="7" max="7" width="15.5" customWidth="1"/>
    <col min="8" max="8" width="14" customWidth="1"/>
    <col min="9" max="9" width="13.33203125" customWidth="1"/>
    <col min="11" max="11" width="52.83203125" customWidth="1"/>
    <col min="12" max="13" width="11.6640625" bestFit="1" customWidth="1"/>
    <col min="14" max="14" width="8.83203125" bestFit="1" customWidth="1"/>
  </cols>
  <sheetData>
    <row r="1" spans="2:12" ht="16" thickBot="1" x14ac:dyDescent="0.25"/>
    <row r="2" spans="2:12" ht="16" thickBot="1" x14ac:dyDescent="0.25">
      <c r="B2" s="55"/>
      <c r="C2" s="71" t="s">
        <v>35</v>
      </c>
      <c r="D2" s="69"/>
      <c r="E2" s="71" t="s">
        <v>36</v>
      </c>
      <c r="F2" s="71"/>
      <c r="G2" s="71"/>
      <c r="H2" s="71"/>
      <c r="I2" s="71"/>
      <c r="J2" s="72"/>
    </row>
    <row r="3" spans="2:12" ht="16" thickBot="1" x14ac:dyDescent="0.25">
      <c r="B3" s="65" t="s">
        <v>37</v>
      </c>
      <c r="C3" s="66" t="s">
        <v>38</v>
      </c>
      <c r="D3" s="67" t="s">
        <v>39</v>
      </c>
      <c r="E3" s="66" t="s">
        <v>38</v>
      </c>
      <c r="F3" s="66" t="s">
        <v>3</v>
      </c>
      <c r="G3" s="66" t="s">
        <v>38</v>
      </c>
      <c r="H3" s="66" t="s">
        <v>3</v>
      </c>
      <c r="I3" s="66" t="s">
        <v>40</v>
      </c>
      <c r="J3" s="68" t="s">
        <v>3</v>
      </c>
    </row>
    <row r="4" spans="2:12" x14ac:dyDescent="0.2">
      <c r="B4" s="63" t="s">
        <v>41</v>
      </c>
      <c r="C4" s="53">
        <v>1</v>
      </c>
      <c r="D4" s="57" t="s">
        <v>42</v>
      </c>
      <c r="E4" s="53">
        <v>60</v>
      </c>
      <c r="F4" s="53" t="s">
        <v>43</v>
      </c>
      <c r="G4" s="53">
        <f>60*52</f>
        <v>3120</v>
      </c>
      <c r="H4" s="53" t="s">
        <v>44</v>
      </c>
      <c r="I4" s="53" t="s">
        <v>42</v>
      </c>
      <c r="J4" s="54" t="s">
        <v>42</v>
      </c>
    </row>
    <row r="5" spans="2:12" ht="16" thickBot="1" x14ac:dyDescent="0.25">
      <c r="B5" s="24" t="s">
        <v>45</v>
      </c>
      <c r="C5" s="58">
        <v>0.55905901728781382</v>
      </c>
      <c r="D5" s="59" t="s">
        <v>46</v>
      </c>
      <c r="E5" s="25" t="s">
        <v>42</v>
      </c>
      <c r="F5" s="25" t="s">
        <v>46</v>
      </c>
      <c r="G5" s="58">
        <f>G4*C5</f>
        <v>1744.2641339379791</v>
      </c>
      <c r="H5" s="25" t="s">
        <v>46</v>
      </c>
      <c r="I5" s="25" t="s">
        <v>42</v>
      </c>
      <c r="J5" s="26" t="s">
        <v>42</v>
      </c>
    </row>
    <row r="6" spans="2:12" x14ac:dyDescent="0.2">
      <c r="B6" s="22" t="s">
        <v>47</v>
      </c>
      <c r="C6" s="56" t="s">
        <v>42</v>
      </c>
      <c r="D6" s="60" t="s">
        <v>48</v>
      </c>
      <c r="E6" s="56">
        <v>2.36</v>
      </c>
      <c r="F6" s="56" t="s">
        <v>48</v>
      </c>
      <c r="G6" s="56">
        <f>E6*G8</f>
        <v>755.19999999999993</v>
      </c>
      <c r="H6" s="56" t="s">
        <v>49</v>
      </c>
      <c r="I6" s="56">
        <v>452.5261862399999</v>
      </c>
      <c r="J6" s="23" t="s">
        <v>46</v>
      </c>
    </row>
    <row r="7" spans="2:12" x14ac:dyDescent="0.2">
      <c r="B7" s="22" t="s">
        <v>50</v>
      </c>
      <c r="C7" s="56" t="s">
        <v>42</v>
      </c>
      <c r="D7" s="60" t="s">
        <v>48</v>
      </c>
      <c r="E7" s="56">
        <v>14.3</v>
      </c>
      <c r="F7" s="56" t="s">
        <v>48</v>
      </c>
      <c r="G7" s="56">
        <f>E7*G8</f>
        <v>4576</v>
      </c>
      <c r="H7" s="56" t="s">
        <v>49</v>
      </c>
      <c r="I7" s="56">
        <v>2070759.8282342399</v>
      </c>
      <c r="J7" s="23" t="s">
        <v>46</v>
      </c>
    </row>
    <row r="8" spans="2:12" ht="16" thickBot="1" x14ac:dyDescent="0.25">
      <c r="B8" s="24" t="s">
        <v>51</v>
      </c>
      <c r="C8" s="25" t="s">
        <v>42</v>
      </c>
      <c r="D8" s="61" t="s">
        <v>52</v>
      </c>
      <c r="E8" s="25" t="s">
        <v>42</v>
      </c>
      <c r="F8" s="62" t="s">
        <v>52</v>
      </c>
      <c r="G8" s="25">
        <v>320</v>
      </c>
      <c r="H8" s="62" t="s">
        <v>52</v>
      </c>
      <c r="I8" s="25">
        <v>320</v>
      </c>
      <c r="J8" s="26" t="s">
        <v>52</v>
      </c>
    </row>
    <row r="10" spans="2:12" x14ac:dyDescent="0.2">
      <c r="B10" s="74" t="s">
        <v>53</v>
      </c>
      <c r="C10" s="75">
        <f>SUM(G5+I6+I7)</f>
        <v>2072956.618554418</v>
      </c>
      <c r="G10" s="64"/>
    </row>
    <row r="12" spans="2:12" x14ac:dyDescent="0.2">
      <c r="G12" s="56"/>
      <c r="K12" s="50"/>
      <c r="L12" s="50"/>
    </row>
    <row r="13" spans="2:12" x14ac:dyDescent="0.2">
      <c r="K13" s="50"/>
      <c r="L13" s="50"/>
    </row>
    <row r="14" spans="2:12" x14ac:dyDescent="0.2">
      <c r="K14" s="50"/>
      <c r="L14" s="50"/>
    </row>
    <row r="15" spans="2:12" x14ac:dyDescent="0.2">
      <c r="K15" s="50"/>
      <c r="L15" s="51"/>
    </row>
    <row r="16" spans="2:12" x14ac:dyDescent="0.2">
      <c r="K16" s="50"/>
      <c r="L16" s="51"/>
    </row>
    <row r="17" spans="11:12" x14ac:dyDescent="0.2">
      <c r="K17" s="50"/>
      <c r="L17" s="51"/>
    </row>
    <row r="18" spans="11:12" x14ac:dyDescent="0.2">
      <c r="K18" s="50"/>
      <c r="L18" s="50"/>
    </row>
    <row r="19" spans="11:12" x14ac:dyDescent="0.2">
      <c r="K19" s="50"/>
      <c r="L19" s="50"/>
    </row>
    <row r="20" spans="11:12" x14ac:dyDescent="0.2">
      <c r="K20" s="50"/>
      <c r="L20" s="50"/>
    </row>
    <row r="21" spans="11:12" x14ac:dyDescent="0.2">
      <c r="K21" s="50"/>
      <c r="L21" s="50"/>
    </row>
    <row r="22" spans="11:12" x14ac:dyDescent="0.2">
      <c r="K22" s="50"/>
      <c r="L22" s="50"/>
    </row>
    <row r="23" spans="11:12" x14ac:dyDescent="0.2">
      <c r="K23" s="50"/>
      <c r="L23" s="50"/>
    </row>
    <row r="24" spans="11:12" x14ac:dyDescent="0.2">
      <c r="K24" s="50"/>
      <c r="L24" s="50"/>
    </row>
    <row r="25" spans="11:12" x14ac:dyDescent="0.2">
      <c r="K25" s="50"/>
      <c r="L25" s="50"/>
    </row>
    <row r="26" spans="11:12" x14ac:dyDescent="0.2">
      <c r="K26" s="50"/>
      <c r="L26" s="50"/>
    </row>
    <row r="27" spans="11:12" x14ac:dyDescent="0.2">
      <c r="K27" s="50"/>
      <c r="L27" s="50"/>
    </row>
    <row r="28" spans="11:12" x14ac:dyDescent="0.2">
      <c r="K28" s="50"/>
      <c r="L28" s="50"/>
    </row>
    <row r="29" spans="11:12" x14ac:dyDescent="0.2">
      <c r="K29" s="50"/>
      <c r="L29" s="50"/>
    </row>
    <row r="30" spans="11:12" x14ac:dyDescent="0.2">
      <c r="K30" s="50"/>
      <c r="L30" s="50"/>
    </row>
    <row r="31" spans="11:12" x14ac:dyDescent="0.2">
      <c r="K31" s="50"/>
      <c r="L31" s="51"/>
    </row>
    <row r="32" spans="11:12" x14ac:dyDescent="0.2">
      <c r="K32" s="50"/>
      <c r="L32" s="51"/>
    </row>
    <row r="33" spans="11:12" x14ac:dyDescent="0.2">
      <c r="K33" s="50"/>
      <c r="L33" s="51"/>
    </row>
    <row r="34" spans="11:12" x14ac:dyDescent="0.2">
      <c r="K34" s="50"/>
      <c r="L34" s="51"/>
    </row>
    <row r="35" spans="11:12" x14ac:dyDescent="0.2">
      <c r="K35" s="50"/>
      <c r="L35" s="51"/>
    </row>
    <row r="36" spans="11:12" x14ac:dyDescent="0.2">
      <c r="K36" s="50"/>
      <c r="L36" s="51"/>
    </row>
    <row r="37" spans="11:12" x14ac:dyDescent="0.2">
      <c r="K37" s="50"/>
      <c r="L37" s="50"/>
    </row>
    <row r="38" spans="11:12" x14ac:dyDescent="0.2">
      <c r="K38" s="50"/>
      <c r="L38" s="50"/>
    </row>
    <row r="39" spans="11:12" x14ac:dyDescent="0.2">
      <c r="K39" s="50"/>
      <c r="L39" s="51"/>
    </row>
    <row r="40" spans="11:12" x14ac:dyDescent="0.2">
      <c r="K40" s="50"/>
      <c r="L40" s="50"/>
    </row>
    <row r="41" spans="11:12" x14ac:dyDescent="0.2">
      <c r="K41" s="50"/>
      <c r="L41" s="51"/>
    </row>
    <row r="42" spans="11:12" x14ac:dyDescent="0.2">
      <c r="K42" s="50"/>
      <c r="L42" s="51"/>
    </row>
    <row r="43" spans="11:12" x14ac:dyDescent="0.2">
      <c r="K43" s="50"/>
      <c r="L43" s="51"/>
    </row>
    <row r="44" spans="11:12" x14ac:dyDescent="0.2">
      <c r="K44" s="50"/>
      <c r="L44" s="51"/>
    </row>
    <row r="45" spans="11:12" x14ac:dyDescent="0.2">
      <c r="K45" s="50"/>
      <c r="L45" s="50"/>
    </row>
    <row r="46" spans="11:12" x14ac:dyDescent="0.2">
      <c r="K46" s="50"/>
      <c r="L46" s="50"/>
    </row>
    <row r="47" spans="11:12" x14ac:dyDescent="0.2">
      <c r="K47" s="50"/>
      <c r="L47" s="51"/>
    </row>
    <row r="48" spans="11:12" x14ac:dyDescent="0.2">
      <c r="K48" s="50"/>
      <c r="L48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65FB-2E08-9F4A-9335-1645C2CD9DAB}">
  <sheetPr>
    <tabColor rgb="FF00B0F0"/>
  </sheetPr>
  <dimension ref="B1:L29"/>
  <sheetViews>
    <sheetView zoomScale="46" zoomScaleNormal="148" workbookViewId="0">
      <selection sqref="A1:XFD1"/>
    </sheetView>
  </sheetViews>
  <sheetFormatPr baseColWidth="10" defaultColWidth="8.83203125" defaultRowHeight="15" x14ac:dyDescent="0.2"/>
  <cols>
    <col min="1" max="1" width="20" customWidth="1"/>
    <col min="2" max="2" width="42.33203125" customWidth="1"/>
    <col min="3" max="3" width="25.6640625" customWidth="1"/>
    <col min="4" max="4" width="34.83203125" customWidth="1"/>
    <col min="5" max="5" width="42.33203125" customWidth="1"/>
    <col min="6" max="6" width="49" customWidth="1"/>
    <col min="7" max="7" width="46.83203125" customWidth="1"/>
    <col min="8" max="8" width="34.83203125" customWidth="1"/>
    <col min="9" max="9" width="41.33203125" customWidth="1"/>
    <col min="10" max="10" width="79.6640625" customWidth="1"/>
    <col min="11" max="12" width="34.83203125" customWidth="1"/>
    <col min="13" max="13" width="15.33203125" customWidth="1"/>
  </cols>
  <sheetData>
    <row r="1" spans="2:12" ht="16" thickBot="1" x14ac:dyDescent="0.25"/>
    <row r="2" spans="2:12" x14ac:dyDescent="0.2">
      <c r="B2" s="70" t="s">
        <v>54</v>
      </c>
      <c r="C2" s="71" t="s">
        <v>55</v>
      </c>
      <c r="D2" s="71" t="s">
        <v>56</v>
      </c>
      <c r="E2" s="71" t="s">
        <v>57</v>
      </c>
      <c r="F2" s="71" t="s">
        <v>58</v>
      </c>
      <c r="G2" s="71" t="s">
        <v>59</v>
      </c>
      <c r="H2" s="71" t="s">
        <v>60</v>
      </c>
      <c r="I2" s="71" t="s">
        <v>61</v>
      </c>
      <c r="J2" s="71" t="s">
        <v>62</v>
      </c>
      <c r="K2" s="71" t="s">
        <v>63</v>
      </c>
      <c r="L2" s="72" t="s">
        <v>63</v>
      </c>
    </row>
    <row r="3" spans="2:12" x14ac:dyDescent="0.2">
      <c r="B3" s="28" t="s">
        <v>64</v>
      </c>
      <c r="C3">
        <f t="shared" ref="C3:C29" si="0">SUM(D3:L3)</f>
        <v>2.7674499700156819E-3</v>
      </c>
      <c r="D3" s="1">
        <v>2.3499999999999999E-9</v>
      </c>
      <c r="E3" s="1">
        <v>1.2792883326637679E-5</v>
      </c>
      <c r="F3" s="1">
        <v>5.0406147124615135E-5</v>
      </c>
      <c r="G3">
        <v>1.0060336568973847E-3</v>
      </c>
      <c r="H3">
        <v>8.1053806226209812E-4</v>
      </c>
      <c r="I3">
        <v>8.1053806226209812E-4</v>
      </c>
      <c r="J3" s="1">
        <v>1.17229322568568E-8</v>
      </c>
      <c r="K3">
        <v>3.8563542605295578E-5</v>
      </c>
      <c r="L3" s="29">
        <v>3.8563542605295578E-5</v>
      </c>
    </row>
    <row r="4" spans="2:12" x14ac:dyDescent="0.2">
      <c r="B4" s="28" t="s">
        <v>65</v>
      </c>
      <c r="C4">
        <f t="shared" si="0"/>
        <v>1.0462818715210325E-3</v>
      </c>
      <c r="D4" s="1">
        <v>3.4200000000000002E-9</v>
      </c>
      <c r="E4" s="1">
        <v>4.941047293039028E-6</v>
      </c>
      <c r="F4" s="1">
        <v>1.9468570958042666E-5</v>
      </c>
      <c r="G4" s="1">
        <v>3.8856446589867049E-4</v>
      </c>
      <c r="H4" s="1">
        <v>3.1305740826277341E-4</v>
      </c>
      <c r="I4" s="1">
        <v>3.1305740826277341E-4</v>
      </c>
      <c r="J4" s="1">
        <v>5.3221065171053303E-12</v>
      </c>
      <c r="K4" s="1">
        <v>3.5947727618134388E-6</v>
      </c>
      <c r="L4" s="30">
        <v>3.5947727618134388E-6</v>
      </c>
    </row>
    <row r="5" spans="2:12" x14ac:dyDescent="0.2">
      <c r="B5" s="28" t="s">
        <v>66</v>
      </c>
      <c r="C5">
        <f t="shared" si="0"/>
        <v>7.2978929260136501E-4</v>
      </c>
      <c r="D5" s="1">
        <v>6.17E-21</v>
      </c>
      <c r="E5" s="1">
        <v>3.4462431682638156E-6</v>
      </c>
      <c r="F5" s="1">
        <v>1.3578787184355717E-5</v>
      </c>
      <c r="G5" s="1">
        <v>2.7101291621310419E-4</v>
      </c>
      <c r="H5" s="1">
        <v>2.1834884195904764E-4</v>
      </c>
      <c r="I5" s="1">
        <v>2.1834884195904764E-4</v>
      </c>
      <c r="J5">
        <v>0</v>
      </c>
      <c r="K5" s="1">
        <v>2.5268310587730204E-6</v>
      </c>
      <c r="L5" s="30">
        <v>2.5268310587730204E-6</v>
      </c>
    </row>
    <row r="6" spans="2:12" x14ac:dyDescent="0.2">
      <c r="B6" s="28" t="s">
        <v>67</v>
      </c>
      <c r="C6">
        <f t="shared" si="0"/>
        <v>3.1649201359756072E-4</v>
      </c>
      <c r="D6" s="1">
        <v>2.86E-9</v>
      </c>
      <c r="E6" s="1">
        <v>1.4948041247752126E-6</v>
      </c>
      <c r="F6" s="1">
        <v>5.889783773686949E-6</v>
      </c>
      <c r="G6" s="1">
        <v>1.1755154968556628E-4</v>
      </c>
      <c r="H6" s="1">
        <v>9.4708566303725744E-5</v>
      </c>
      <c r="I6" s="1">
        <v>9.4708566303725744E-5</v>
      </c>
      <c r="J6">
        <v>0</v>
      </c>
      <c r="K6" s="1">
        <v>1.0679417030404187E-6</v>
      </c>
      <c r="L6" s="30">
        <v>1.0679417030404187E-6</v>
      </c>
    </row>
    <row r="7" spans="2:12" x14ac:dyDescent="0.2">
      <c r="B7" s="28" t="s">
        <v>68</v>
      </c>
      <c r="C7">
        <f t="shared" si="0"/>
        <v>6.5797495081881619E-3</v>
      </c>
      <c r="D7" s="1">
        <v>4.3400000000000003E-9</v>
      </c>
      <c r="E7" s="1">
        <v>3.1151415805440915E-5</v>
      </c>
      <c r="F7" s="1">
        <v>1.2274190330178002E-4</v>
      </c>
      <c r="G7">
        <v>2.4497505339568788E-3</v>
      </c>
      <c r="H7">
        <v>1.9737073776861535E-3</v>
      </c>
      <c r="I7">
        <v>1.9737073776861535E-3</v>
      </c>
      <c r="J7" s="1">
        <v>2.5911342652368E-8</v>
      </c>
      <c r="K7">
        <v>1.4330324204551187E-5</v>
      </c>
      <c r="L7" s="29">
        <v>1.4330324204551187E-5</v>
      </c>
    </row>
    <row r="8" spans="2:12" x14ac:dyDescent="0.2">
      <c r="B8" s="28" t="s">
        <v>69</v>
      </c>
      <c r="C8">
        <f t="shared" si="0"/>
        <v>4.0398609914263532E-5</v>
      </c>
      <c r="D8" s="1">
        <v>1.2E-10</v>
      </c>
      <c r="E8" s="1">
        <v>1.9195249116579593E-7</v>
      </c>
      <c r="F8" s="1">
        <v>7.5632562758488828E-7</v>
      </c>
      <c r="G8" s="1">
        <v>1.5095163592713183E-5</v>
      </c>
      <c r="H8" s="1">
        <v>1.2161824372457455E-5</v>
      </c>
      <c r="I8" s="1">
        <v>1.2161824372457455E-5</v>
      </c>
      <c r="J8">
        <v>0</v>
      </c>
      <c r="K8" s="1">
        <v>1.5699728942378891E-8</v>
      </c>
      <c r="L8" s="30">
        <v>1.5699728942378891E-8</v>
      </c>
    </row>
    <row r="9" spans="2:12" x14ac:dyDescent="0.2">
      <c r="B9" s="28" t="s">
        <v>70</v>
      </c>
      <c r="C9">
        <f t="shared" si="0"/>
        <v>6.5251236753711981E-3</v>
      </c>
      <c r="D9" s="1">
        <v>4.1000000000000003E-9</v>
      </c>
      <c r="E9" s="1">
        <v>3.0897720303607286E-5</v>
      </c>
      <c r="F9" s="1">
        <v>1.2174229965780306E-4</v>
      </c>
      <c r="G9">
        <v>2.429799893672631E-3</v>
      </c>
      <c r="H9">
        <v>1.9576336079807212E-3</v>
      </c>
      <c r="I9">
        <v>1.9576336079807212E-3</v>
      </c>
      <c r="J9" s="1">
        <v>2.5911342652368E-8</v>
      </c>
      <c r="K9">
        <v>1.3693267216530142E-5</v>
      </c>
      <c r="L9" s="29">
        <v>1.3693267216530142E-5</v>
      </c>
    </row>
    <row r="10" spans="2:12" x14ac:dyDescent="0.2">
      <c r="B10" s="28" t="s">
        <v>71</v>
      </c>
      <c r="C10">
        <f t="shared" si="0"/>
        <v>1.4227228902706852E-5</v>
      </c>
      <c r="D10" s="1">
        <v>1.26E-10</v>
      </c>
      <c r="E10" s="1">
        <v>6.1743010667855948E-8</v>
      </c>
      <c r="F10" s="1">
        <v>2.4327801639215036E-7</v>
      </c>
      <c r="G10" s="1">
        <v>4.8554766915366697E-6</v>
      </c>
      <c r="H10" s="1">
        <v>3.9119453329764108E-6</v>
      </c>
      <c r="I10" s="1">
        <v>3.9119453329764108E-6</v>
      </c>
      <c r="J10">
        <v>0</v>
      </c>
      <c r="K10" s="1">
        <v>6.2135725907867756E-7</v>
      </c>
      <c r="L10" s="30">
        <v>6.2135725907867756E-7</v>
      </c>
    </row>
    <row r="11" spans="2:12" x14ac:dyDescent="0.2">
      <c r="B11" s="28" t="s">
        <v>72</v>
      </c>
      <c r="C11">
        <f t="shared" si="0"/>
        <v>4.6275067222738005E-2</v>
      </c>
      <c r="D11" s="1">
        <v>6.2699999999999999E-8</v>
      </c>
      <c r="E11" s="1">
        <v>2.190021930059072E-4</v>
      </c>
      <c r="F11" s="1">
        <v>8.6290607671558298E-4</v>
      </c>
      <c r="G11">
        <v>1.7222354919747926E-2</v>
      </c>
      <c r="H11">
        <v>1.3875653253285193E-2</v>
      </c>
      <c r="I11">
        <v>1.3875653253285193E-2</v>
      </c>
      <c r="J11" s="1">
        <v>1.03194004767426E-11</v>
      </c>
      <c r="K11">
        <v>1.0971740818940004E-4</v>
      </c>
      <c r="L11" s="29">
        <v>1.0971740818940004E-4</v>
      </c>
    </row>
    <row r="12" spans="2:12" x14ac:dyDescent="0.2">
      <c r="B12" s="28" t="s">
        <v>73</v>
      </c>
      <c r="C12">
        <f t="shared" si="0"/>
        <v>1.8811177012461541E-3</v>
      </c>
      <c r="D12" s="1">
        <v>6.1099999999999998E-8</v>
      </c>
      <c r="E12" s="1">
        <v>8.8945782527832537E-6</v>
      </c>
      <c r="F12" s="1">
        <v>3.5046158756692989E-5</v>
      </c>
      <c r="G12">
        <v>6.994705460633111E-4</v>
      </c>
      <c r="H12">
        <v>5.6354725026202222E-4</v>
      </c>
      <c r="I12">
        <v>5.6354725026202222E-4</v>
      </c>
      <c r="J12" s="1">
        <v>5.8314081085356899E-12</v>
      </c>
      <c r="K12">
        <v>5.2754059089571313E-6</v>
      </c>
      <c r="L12" s="29">
        <v>5.2754059089571313E-6</v>
      </c>
    </row>
    <row r="13" spans="2:12" x14ac:dyDescent="0.2">
      <c r="B13" s="28" t="s">
        <v>74</v>
      </c>
      <c r="C13">
        <f t="shared" si="0"/>
        <v>4.3917705724933247E-2</v>
      </c>
      <c r="D13" s="1">
        <v>1.0999999999999999E-9</v>
      </c>
      <c r="E13" s="1">
        <v>2.0815272427343075E-4</v>
      </c>
      <c r="F13" s="1">
        <v>8.2015731529958599E-4</v>
      </c>
      <c r="G13">
        <v>1.6369151585859956E-2</v>
      </c>
      <c r="H13">
        <v>1.3188247049502831E-2</v>
      </c>
      <c r="I13">
        <v>1.3188247049502831E-2</v>
      </c>
      <c r="J13">
        <v>0</v>
      </c>
      <c r="K13">
        <v>7.1874450247305595E-5</v>
      </c>
      <c r="L13" s="29">
        <v>7.1874450247305595E-5</v>
      </c>
    </row>
    <row r="14" spans="2:12" x14ac:dyDescent="0.2">
      <c r="B14" s="28" t="s">
        <v>75</v>
      </c>
      <c r="C14">
        <f t="shared" si="0"/>
        <v>4.7624376355861873E-4</v>
      </c>
      <c r="D14" s="1">
        <v>4.6700000000000004E-10</v>
      </c>
      <c r="E14" s="1">
        <v>1.9548904796932651E-6</v>
      </c>
      <c r="F14" s="1">
        <v>7.7026026593042324E-6</v>
      </c>
      <c r="G14" s="1">
        <v>1.53732787824666E-4</v>
      </c>
      <c r="H14" s="1">
        <v>1.2385895352034419E-4</v>
      </c>
      <c r="I14" s="1">
        <v>1.2385895352034419E-4</v>
      </c>
      <c r="J14" s="1">
        <v>4.4879923682068599E-12</v>
      </c>
      <c r="K14">
        <v>3.2567552033137269E-5</v>
      </c>
      <c r="L14" s="29">
        <v>3.2567552033137269E-5</v>
      </c>
    </row>
    <row r="15" spans="2:12" x14ac:dyDescent="0.2">
      <c r="B15" s="28" t="s">
        <v>76</v>
      </c>
      <c r="C15">
        <f t="shared" si="0"/>
        <v>4.4020398250482581E-2</v>
      </c>
      <c r="D15" s="1">
        <v>3.27368851004776E-10</v>
      </c>
      <c r="E15" s="1">
        <v>2.0906415359974833E-4</v>
      </c>
      <c r="F15" s="1">
        <v>8.2374850264516227E-4</v>
      </c>
      <c r="G15" s="1">
        <v>1.6440826481561498E-2</v>
      </c>
      <c r="H15" s="1">
        <v>1.3245993856159315E-2</v>
      </c>
      <c r="I15" s="1">
        <v>1.3245993856159315E-2</v>
      </c>
      <c r="J15">
        <v>0</v>
      </c>
      <c r="K15">
        <v>2.738553649434799E-5</v>
      </c>
      <c r="L15" s="29">
        <v>2.738553649434799E-5</v>
      </c>
    </row>
    <row r="16" spans="2:12" x14ac:dyDescent="0.2">
      <c r="B16" s="28" t="s">
        <v>77</v>
      </c>
      <c r="C16">
        <f t="shared" si="0"/>
        <v>2.0205217593271697E-3</v>
      </c>
      <c r="D16" s="1">
        <v>1.1489677555867999E-9</v>
      </c>
      <c r="E16" s="1">
        <v>9.4529850721904444E-6</v>
      </c>
      <c r="F16" s="1">
        <v>3.7246377079314485E-5</v>
      </c>
      <c r="G16">
        <v>7.4338371561398693E-4</v>
      </c>
      <c r="H16">
        <v>5.9892707588849456E-4</v>
      </c>
      <c r="I16">
        <v>5.9892707588849456E-4</v>
      </c>
      <c r="J16" s="1">
        <v>1.7370244274447199E-8</v>
      </c>
      <c r="K16">
        <v>1.6283005286329259E-5</v>
      </c>
      <c r="L16" s="29">
        <v>1.6283005286329259E-5</v>
      </c>
    </row>
    <row r="17" spans="2:12" x14ac:dyDescent="0.2">
      <c r="B17" s="28" t="s">
        <v>78</v>
      </c>
      <c r="C17">
        <f t="shared" si="0"/>
        <v>1.6598748493012975E-3</v>
      </c>
      <c r="D17" s="1">
        <v>1.79796624179815E-9</v>
      </c>
      <c r="E17" s="1">
        <v>7.6522101938259497E-6</v>
      </c>
      <c r="F17" s="1">
        <v>3.0151016233792851E-5</v>
      </c>
      <c r="G17">
        <v>6.017705944845439E-4</v>
      </c>
      <c r="H17">
        <v>4.8483265767078034E-4</v>
      </c>
      <c r="I17">
        <v>4.8483265767078034E-4</v>
      </c>
      <c r="J17" s="1">
        <v>2.1100595856355301E-8</v>
      </c>
      <c r="K17">
        <v>2.530640724273799E-5</v>
      </c>
      <c r="L17" s="29">
        <v>2.530640724273799E-5</v>
      </c>
    </row>
    <row r="18" spans="2:12" x14ac:dyDescent="0.2">
      <c r="B18" s="28" t="s">
        <v>79</v>
      </c>
      <c r="C18">
        <f t="shared" si="0"/>
        <v>2.8908022918849173E-3</v>
      </c>
      <c r="D18" s="1">
        <v>2.36793078648426E-9</v>
      </c>
      <c r="E18" s="1">
        <v>1.3729318252765924E-5</v>
      </c>
      <c r="F18" s="1">
        <v>5.4095860807906763E-5</v>
      </c>
      <c r="G18">
        <v>1.0796749955327175E-3</v>
      </c>
      <c r="H18">
        <v>8.6986918653477049E-4</v>
      </c>
      <c r="I18">
        <v>8.6986918653477049E-4</v>
      </c>
      <c r="J18">
        <v>0</v>
      </c>
      <c r="K18" s="1">
        <v>1.7806881455999857E-6</v>
      </c>
      <c r="L18" s="30">
        <v>1.7806881455999857E-6</v>
      </c>
    </row>
    <row r="19" spans="2:12" x14ac:dyDescent="0.2">
      <c r="B19" s="28" t="s">
        <v>80</v>
      </c>
      <c r="C19">
        <f t="shared" si="0"/>
        <v>2.9500705901660857E-4</v>
      </c>
      <c r="D19" s="1">
        <v>4.5125334200770699E-10</v>
      </c>
      <c r="E19" s="1">
        <v>1.3603135869500718E-6</v>
      </c>
      <c r="F19" s="1">
        <v>5.3598680648203687E-6</v>
      </c>
      <c r="G19" s="1">
        <v>1.069751999970959E-4</v>
      </c>
      <c r="H19" s="1">
        <v>8.6187445838693892E-5</v>
      </c>
      <c r="I19" s="1">
        <v>8.6187445838693892E-5</v>
      </c>
      <c r="J19">
        <v>0</v>
      </c>
      <c r="K19">
        <v>4.4681672185062472E-6</v>
      </c>
      <c r="L19" s="29">
        <v>4.4681672185062472E-6</v>
      </c>
    </row>
    <row r="20" spans="2:12" x14ac:dyDescent="0.2">
      <c r="B20" s="28" t="s">
        <v>81</v>
      </c>
      <c r="C20">
        <f t="shared" si="0"/>
        <v>3.9840696402240897E-3</v>
      </c>
      <c r="D20" s="1">
        <v>1.2144777199543801E-8</v>
      </c>
      <c r="E20" s="1">
        <v>1.8899053772332229E-5</v>
      </c>
      <c r="F20" s="1">
        <v>7.4465502470471426E-5</v>
      </c>
      <c r="G20">
        <v>1.4862235270206956E-3</v>
      </c>
      <c r="H20">
        <v>1.1974159407298725E-3</v>
      </c>
      <c r="I20">
        <v>1.1974159407298725E-3</v>
      </c>
      <c r="J20" s="1">
        <v>8.0925311076131705E-10</v>
      </c>
      <c r="K20">
        <v>4.8183607352671922E-6</v>
      </c>
      <c r="L20" s="29">
        <v>4.8183607352671922E-6</v>
      </c>
    </row>
    <row r="21" spans="2:12" x14ac:dyDescent="0.2">
      <c r="B21" s="28" t="s">
        <v>82</v>
      </c>
      <c r="C21">
        <f t="shared" si="0"/>
        <v>5.1068513987001312E-4</v>
      </c>
      <c r="D21" s="1">
        <v>2.05003787760047E-9</v>
      </c>
      <c r="E21" s="1">
        <v>2.4210000522778899E-6</v>
      </c>
      <c r="F21" s="1">
        <v>9.5391540521376673E-6</v>
      </c>
      <c r="G21" s="1">
        <v>1.9038769241883091E-4</v>
      </c>
      <c r="H21" s="1">
        <v>1.5339096285071088E-4</v>
      </c>
      <c r="I21" s="1">
        <v>1.5339096285071088E-4</v>
      </c>
      <c r="J21" s="1">
        <v>8.0243361044291401E-10</v>
      </c>
      <c r="K21" s="1">
        <v>7.7625758692846433E-7</v>
      </c>
      <c r="L21" s="30">
        <v>7.7625758692846433E-7</v>
      </c>
    </row>
    <row r="22" spans="2:12" x14ac:dyDescent="0.2">
      <c r="B22" s="28" t="s">
        <v>83</v>
      </c>
      <c r="C22">
        <f t="shared" si="0"/>
        <v>3.3285008332826029E-3</v>
      </c>
      <c r="D22" s="1">
        <v>1.0081904974995999E-8</v>
      </c>
      <c r="E22" s="1">
        <v>1.5796742807383449E-5</v>
      </c>
      <c r="F22" s="1">
        <v>6.2241866959006581E-5</v>
      </c>
      <c r="G22">
        <v>1.2422574745513839E-3</v>
      </c>
      <c r="H22" s="1">
        <v>1.0008581316839479E-3</v>
      </c>
      <c r="I22" s="1">
        <v>1.0008581316839479E-3</v>
      </c>
      <c r="J22">
        <v>0</v>
      </c>
      <c r="K22" s="1">
        <v>3.2392018459788944E-6</v>
      </c>
      <c r="L22" s="30">
        <v>3.2392018459788944E-6</v>
      </c>
    </row>
    <row r="23" spans="2:12" x14ac:dyDescent="0.2">
      <c r="B23" s="28" t="s">
        <v>84</v>
      </c>
      <c r="C23">
        <f t="shared" si="0"/>
        <v>1.6515822657069541E-4</v>
      </c>
      <c r="D23" s="1">
        <v>6.4223264290224198E-11</v>
      </c>
      <c r="E23" s="1">
        <v>7.7702044371332961E-7</v>
      </c>
      <c r="F23" s="1">
        <v>3.0615933722379906E-6</v>
      </c>
      <c r="G23" s="1">
        <v>6.1104967388020713E-5</v>
      </c>
      <c r="H23" s="1">
        <v>4.9230859744811545E-5</v>
      </c>
      <c r="I23" s="1">
        <v>4.9230859744811545E-5</v>
      </c>
      <c r="J23" s="1">
        <v>6.9347731801850199E-12</v>
      </c>
      <c r="K23" s="1">
        <v>8.7642735953141515E-7</v>
      </c>
      <c r="L23" s="30">
        <v>8.7642735953141515E-7</v>
      </c>
    </row>
    <row r="24" spans="2:12" x14ac:dyDescent="0.2">
      <c r="B24" s="28" t="s">
        <v>85</v>
      </c>
      <c r="C24">
        <f t="shared" si="0"/>
        <v>1.2451637211280399E-5</v>
      </c>
      <c r="D24" s="1">
        <v>1.22730956040795E-18</v>
      </c>
      <c r="E24" s="1">
        <v>5.8928673796732216E-8</v>
      </c>
      <c r="F24" s="1">
        <v>2.3218904803669704E-7</v>
      </c>
      <c r="G24" s="1">
        <v>4.634156951341565E-6</v>
      </c>
      <c r="H24" s="1">
        <v>3.7336331342460765E-6</v>
      </c>
      <c r="I24" s="1">
        <v>3.7336331342460765E-6</v>
      </c>
      <c r="J24">
        <v>0</v>
      </c>
      <c r="K24" s="1">
        <v>2.9548134806011344E-8</v>
      </c>
      <c r="L24" s="30">
        <v>2.9548134806011344E-8</v>
      </c>
    </row>
    <row r="25" spans="2:12" x14ac:dyDescent="0.2">
      <c r="B25" s="28" t="s">
        <v>86</v>
      </c>
      <c r="C25">
        <f t="shared" si="0"/>
        <v>1.1576952127088096E-3</v>
      </c>
      <c r="D25" s="1">
        <v>2.1787923862629098E-9</v>
      </c>
      <c r="E25" s="1">
        <v>5.4168888611320896E-6</v>
      </c>
      <c r="F25" s="1">
        <v>2.1343468076768323E-5</v>
      </c>
      <c r="G25">
        <v>4.2598469561777223E-4</v>
      </c>
      <c r="H25">
        <v>3.4320602235533062E-4</v>
      </c>
      <c r="I25">
        <v>3.4320602235533062E-4</v>
      </c>
      <c r="J25" s="1">
        <v>1.5197976187313201E-8</v>
      </c>
      <c r="K25">
        <v>9.2603693369511723E-6</v>
      </c>
      <c r="L25" s="29">
        <v>9.2603693369511723E-6</v>
      </c>
    </row>
    <row r="26" spans="2:12" x14ac:dyDescent="0.2">
      <c r="B26" s="28" t="s">
        <v>87</v>
      </c>
      <c r="C26">
        <f t="shared" si="0"/>
        <v>2.2817591580773277E-3</v>
      </c>
      <c r="D26" s="1">
        <v>4.9460513638365999E-8</v>
      </c>
      <c r="E26" s="1">
        <v>1.0745341158213716E-5</v>
      </c>
      <c r="F26" s="1">
        <v>4.2338480973816439E-5</v>
      </c>
      <c r="G26">
        <v>8.4501473076819915E-4</v>
      </c>
      <c r="H26">
        <v>6.808088355334678E-4</v>
      </c>
      <c r="I26">
        <v>6.808088355334678E-4</v>
      </c>
      <c r="J26">
        <v>0</v>
      </c>
      <c r="K26">
        <v>1.0996736798262204E-5</v>
      </c>
      <c r="L26" s="29">
        <v>1.0996736798262204E-5</v>
      </c>
    </row>
    <row r="27" spans="2:12" x14ac:dyDescent="0.2">
      <c r="B27" s="28" t="s">
        <v>88</v>
      </c>
      <c r="C27">
        <f t="shared" si="0"/>
        <v>1.4306741417179048E-2</v>
      </c>
      <c r="D27" s="1">
        <v>3.1741981004880702E-10</v>
      </c>
      <c r="E27" s="1">
        <v>6.7810251455301503E-5</v>
      </c>
      <c r="F27" s="1">
        <v>2.6718398222986319E-4</v>
      </c>
      <c r="G27" s="1">
        <v>5.3326051293424957E-3</v>
      </c>
      <c r="H27" s="1">
        <v>4.2963566861929179E-3</v>
      </c>
      <c r="I27" s="1">
        <v>4.2963566861929179E-3</v>
      </c>
      <c r="J27">
        <v>0</v>
      </c>
      <c r="K27">
        <v>2.321418217287175E-5</v>
      </c>
      <c r="L27" s="29">
        <v>2.321418217287175E-5</v>
      </c>
    </row>
    <row r="28" spans="2:12" x14ac:dyDescent="0.2">
      <c r="B28" s="28" t="s">
        <v>89</v>
      </c>
      <c r="C28">
        <f t="shared" si="0"/>
        <v>1.0351802295532477E-2</v>
      </c>
      <c r="D28" s="1">
        <v>3.2842289775730802E-9</v>
      </c>
      <c r="E28" s="1">
        <v>4.9110382782219762E-5</v>
      </c>
      <c r="F28" s="1">
        <v>1.9350330309917359E-4</v>
      </c>
      <c r="G28">
        <v>3.8620455389560982E-3</v>
      </c>
      <c r="H28" s="1">
        <v>3.1115608171275624E-3</v>
      </c>
      <c r="I28" s="1">
        <v>3.1115608171275624E-3</v>
      </c>
      <c r="J28" s="1">
        <v>6.2731213771822997E-9</v>
      </c>
      <c r="K28">
        <v>1.2005939544754141E-5</v>
      </c>
      <c r="L28" s="29">
        <v>1.2005939544754141E-5</v>
      </c>
    </row>
    <row r="29" spans="2:12" ht="16" thickBot="1" x14ac:dyDescent="0.25">
      <c r="B29" s="31" t="s">
        <v>90</v>
      </c>
      <c r="C29" s="32">
        <f t="shared" si="0"/>
        <v>1.6330865699916365E-3</v>
      </c>
      <c r="D29" s="33">
        <v>9.0658248529560805E-11</v>
      </c>
      <c r="E29" s="33">
        <v>7.6013515151265359E-6</v>
      </c>
      <c r="F29" s="33">
        <v>2.9950624345925921E-5</v>
      </c>
      <c r="G29" s="33">
        <v>5.9777106277534718E-4</v>
      </c>
      <c r="H29" s="33">
        <v>4.8161032742436913E-4</v>
      </c>
      <c r="I29" s="33">
        <v>4.8161032742436913E-4</v>
      </c>
      <c r="J29" s="32">
        <v>0</v>
      </c>
      <c r="K29" s="32">
        <v>1.7271392924125007E-5</v>
      </c>
      <c r="L29" s="34">
        <v>1.7271392924125007E-5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B9C2-9BEA-D84E-A6E7-1F77C34065DC}">
  <sheetPr>
    <tabColor rgb="FF0070C0"/>
  </sheetPr>
  <dimension ref="B1:M30"/>
  <sheetViews>
    <sheetView zoomScale="50" workbookViewId="0">
      <selection sqref="A1:XFD3"/>
    </sheetView>
  </sheetViews>
  <sheetFormatPr baseColWidth="10" defaultColWidth="8.83203125" defaultRowHeight="15" x14ac:dyDescent="0.2"/>
  <cols>
    <col min="2" max="2" width="68.1640625" customWidth="1"/>
    <col min="3" max="3" width="22.1640625" customWidth="1"/>
    <col min="4" max="4" width="32.83203125" customWidth="1"/>
    <col min="5" max="5" width="43.83203125" customWidth="1"/>
    <col min="6" max="6" width="44" customWidth="1"/>
    <col min="7" max="7" width="48.6640625" customWidth="1"/>
    <col min="8" max="8" width="43.1640625" customWidth="1"/>
    <col min="9" max="9" width="46.33203125" customWidth="1"/>
    <col min="10" max="10" width="51.1640625" customWidth="1"/>
    <col min="11" max="11" width="36.33203125" customWidth="1"/>
    <col min="12" max="12" width="43.1640625" customWidth="1"/>
  </cols>
  <sheetData>
    <row r="1" spans="2:13" ht="16" thickBot="1" x14ac:dyDescent="0.25"/>
    <row r="2" spans="2:13" x14ac:dyDescent="0.2">
      <c r="B2" s="35" t="s">
        <v>54</v>
      </c>
      <c r="C2" s="36" t="s">
        <v>91</v>
      </c>
      <c r="D2" s="36" t="s">
        <v>92</v>
      </c>
      <c r="E2" s="36" t="s">
        <v>57</v>
      </c>
      <c r="F2" s="36" t="s">
        <v>58</v>
      </c>
      <c r="G2" s="36" t="s">
        <v>59</v>
      </c>
      <c r="H2" s="36" t="s">
        <v>60</v>
      </c>
      <c r="I2" s="36" t="s">
        <v>61</v>
      </c>
      <c r="J2" s="36" t="s">
        <v>93</v>
      </c>
      <c r="K2" s="36" t="s">
        <v>94</v>
      </c>
      <c r="L2" s="37" t="s">
        <v>94</v>
      </c>
      <c r="M2" s="38"/>
    </row>
    <row r="3" spans="2:13" x14ac:dyDescent="0.2">
      <c r="B3" s="28" t="s">
        <v>95</v>
      </c>
      <c r="C3" s="1">
        <f t="shared" ref="C3:C29" si="0">SUM(D3:L3)</f>
        <v>0.15378592498105981</v>
      </c>
      <c r="D3" s="1">
        <v>1.3E-7</v>
      </c>
      <c r="E3">
        <v>7.1089465747787759E-4</v>
      </c>
      <c r="F3">
        <v>2.8010464709171076E-3</v>
      </c>
      <c r="G3">
        <v>5.5904828776332856E-2</v>
      </c>
      <c r="H3">
        <v>4.5041228269846176E-2</v>
      </c>
      <c r="I3">
        <v>4.5041228269846197E-2</v>
      </c>
      <c r="J3" s="1">
        <v>6.5179503348123799E-7</v>
      </c>
      <c r="K3">
        <v>2.1429583708030501E-3</v>
      </c>
      <c r="L3" s="29">
        <v>2.1429583708030523E-3</v>
      </c>
    </row>
    <row r="4" spans="2:13" x14ac:dyDescent="0.2">
      <c r="B4" s="28" t="s">
        <v>96</v>
      </c>
      <c r="C4" s="1">
        <f t="shared" si="0"/>
        <v>1.7681654138550061E-8</v>
      </c>
      <c r="D4" s="1">
        <v>6.3699999999999996E-14</v>
      </c>
      <c r="E4" s="1">
        <v>8.3501265271493391E-11</v>
      </c>
      <c r="F4" s="1">
        <v>3.2900925889024316E-10</v>
      </c>
      <c r="G4" s="1">
        <v>6.5665480651825751E-9</v>
      </c>
      <c r="H4" s="1">
        <v>5.2905159862329547E-9</v>
      </c>
      <c r="I4" s="1">
        <v>5.2905159862329547E-9</v>
      </c>
      <c r="J4" s="1">
        <v>9.89911812181591E-17</v>
      </c>
      <c r="K4">
        <v>6.0749888874328444E-11</v>
      </c>
      <c r="L4" s="29">
        <v>6.0749888874328444E-11</v>
      </c>
    </row>
    <row r="5" spans="2:13" x14ac:dyDescent="0.2">
      <c r="B5" s="28" t="s">
        <v>97</v>
      </c>
      <c r="C5" s="1">
        <f t="shared" si="0"/>
        <v>1.2333079547660316E-8</v>
      </c>
      <c r="D5" s="1">
        <v>1.15E-25</v>
      </c>
      <c r="E5" s="1">
        <v>5.8239811909647985E-11</v>
      </c>
      <c r="F5" s="1">
        <v>2.2947481444741642E-10</v>
      </c>
      <c r="G5" s="1">
        <v>4.5799847818887593E-9</v>
      </c>
      <c r="H5" s="1">
        <v>3.6899878695416863E-9</v>
      </c>
      <c r="I5" s="1">
        <v>3.6899878695416863E-9</v>
      </c>
      <c r="J5">
        <v>0</v>
      </c>
      <c r="K5">
        <v>4.270220016556068E-11</v>
      </c>
      <c r="L5" s="29">
        <v>4.270220016556068E-11</v>
      </c>
    </row>
    <row r="6" spans="2:13" x14ac:dyDescent="0.2">
      <c r="B6" s="28" t="s">
        <v>98</v>
      </c>
      <c r="C6" s="1">
        <f t="shared" si="0"/>
        <v>5.3485639918985224E-9</v>
      </c>
      <c r="D6" s="1">
        <v>5.3200000000000003E-14</v>
      </c>
      <c r="E6" s="1">
        <v>2.5261453361845219E-11</v>
      </c>
      <c r="F6" s="1">
        <v>9.9534444442826033E-11</v>
      </c>
      <c r="G6" s="1">
        <v>1.9865632832938013E-9</v>
      </c>
      <c r="H6" s="1">
        <v>1.6005281166912568E-9</v>
      </c>
      <c r="I6" s="1">
        <v>1.6005281166912568E-9</v>
      </c>
      <c r="J6">
        <v>0</v>
      </c>
      <c r="K6">
        <v>1.8047688708767796E-11</v>
      </c>
      <c r="L6" s="29">
        <v>1.8047688708767796E-11</v>
      </c>
    </row>
    <row r="7" spans="2:13" x14ac:dyDescent="0.2">
      <c r="B7" s="28" t="s">
        <v>99</v>
      </c>
      <c r="C7" s="1">
        <f t="shared" si="0"/>
        <v>0.55905901728781382</v>
      </c>
      <c r="D7" s="1">
        <v>3.4900000000000001E-5</v>
      </c>
      <c r="E7">
        <v>1.5539562033192059E-3</v>
      </c>
      <c r="F7">
        <v>6.1228530746167001E-3</v>
      </c>
      <c r="G7">
        <v>0.12220327520914577</v>
      </c>
      <c r="H7">
        <v>9.8456354030515322E-2</v>
      </c>
      <c r="I7">
        <v>9.8456354030515322E-2</v>
      </c>
      <c r="J7">
        <v>2.0832719492503901E-4</v>
      </c>
      <c r="K7">
        <v>0.11601149877238823</v>
      </c>
      <c r="L7" s="29">
        <v>0.11601149877238823</v>
      </c>
    </row>
    <row r="8" spans="2:13" x14ac:dyDescent="0.2">
      <c r="B8" s="28" t="s">
        <v>100</v>
      </c>
      <c r="C8" s="1">
        <f t="shared" si="0"/>
        <v>52.602606083906473</v>
      </c>
      <c r="D8" s="1">
        <v>9.6299999999999993E-7</v>
      </c>
      <c r="E8">
        <v>0.25013326913658562</v>
      </c>
      <c r="F8">
        <v>0.98556783822193139</v>
      </c>
      <c r="G8">
        <v>19.670505939595362</v>
      </c>
      <c r="H8">
        <v>15.848071939427141</v>
      </c>
      <c r="I8">
        <v>15.848071939427141</v>
      </c>
      <c r="J8">
        <v>0</v>
      </c>
      <c r="K8">
        <v>1.2709754915015626E-4</v>
      </c>
      <c r="L8" s="29">
        <v>1.2709754915015626E-4</v>
      </c>
    </row>
    <row r="9" spans="2:13" x14ac:dyDescent="0.2">
      <c r="B9" s="28" t="s">
        <v>101</v>
      </c>
      <c r="C9" s="1">
        <f t="shared" si="0"/>
        <v>0.3270650447194362</v>
      </c>
      <c r="D9" s="1">
        <v>3.29E-5</v>
      </c>
      <c r="E9">
        <v>4.9984209038499313E-4</v>
      </c>
      <c r="F9">
        <v>1.9694632792092463E-3</v>
      </c>
      <c r="G9">
        <v>3.9307633253731274E-2</v>
      </c>
      <c r="H9">
        <v>3.1669251491889511E-2</v>
      </c>
      <c r="I9">
        <v>3.1669251491889511E-2</v>
      </c>
      <c r="J9">
        <v>2.0832719492503901E-4</v>
      </c>
      <c r="K9">
        <v>0.1108541879587033</v>
      </c>
      <c r="L9" s="29">
        <v>0.1108541879587033</v>
      </c>
    </row>
    <row r="10" spans="2:13" x14ac:dyDescent="0.2">
      <c r="B10" s="28" t="s">
        <v>102</v>
      </c>
      <c r="C10" s="1">
        <f t="shared" si="0"/>
        <v>1965.807397584917</v>
      </c>
      <c r="D10" s="1">
        <v>1.0100000000000001E-6</v>
      </c>
      <c r="E10">
        <v>9.3477060529920291</v>
      </c>
      <c r="F10">
        <v>36.831559747259192</v>
      </c>
      <c r="G10">
        <v>735.10456274637545</v>
      </c>
      <c r="H10">
        <v>592.25675380088069</v>
      </c>
      <c r="I10">
        <v>592.25675380088069</v>
      </c>
      <c r="J10">
        <v>0</v>
      </c>
      <c r="K10">
        <v>5.0302132645350236E-3</v>
      </c>
      <c r="L10" s="29">
        <v>5.0302132645350236E-3</v>
      </c>
    </row>
    <row r="11" spans="2:13" x14ac:dyDescent="0.2">
      <c r="B11" s="28" t="s">
        <v>103</v>
      </c>
      <c r="C11" s="1">
        <f t="shared" si="0"/>
        <v>89.207953358883188</v>
      </c>
      <c r="D11">
        <v>2.6800000000000001E-3</v>
      </c>
      <c r="E11">
        <v>0.379648723289775</v>
      </c>
      <c r="F11">
        <v>1.4958808669793699</v>
      </c>
      <c r="G11">
        <v>29.855614537838495</v>
      </c>
      <c r="H11">
        <v>24.053978501846533</v>
      </c>
      <c r="I11">
        <v>24.053978501846533</v>
      </c>
      <c r="J11" s="1">
        <v>4.4063840035690699E-7</v>
      </c>
      <c r="K11">
        <v>4.6830858932220476</v>
      </c>
      <c r="L11" s="29">
        <v>4.6830858932220476</v>
      </c>
    </row>
    <row r="12" spans="2:13" x14ac:dyDescent="0.2">
      <c r="B12" s="28" t="s">
        <v>104</v>
      </c>
      <c r="C12" s="1">
        <f t="shared" si="0"/>
        <v>1868.8637899413693</v>
      </c>
      <c r="D12">
        <v>2.6099999999999999E-3</v>
      </c>
      <c r="E12">
        <v>8.8846164229280173</v>
      </c>
      <c r="F12">
        <v>35.00690744418646</v>
      </c>
      <c r="G12">
        <v>698.6871467417692</v>
      </c>
      <c r="H12">
        <v>562.91608353742345</v>
      </c>
      <c r="I12">
        <v>562.91608353742345</v>
      </c>
      <c r="J12" s="1">
        <v>2.4900112623447399E-7</v>
      </c>
      <c r="K12">
        <v>0.22517100431874898</v>
      </c>
      <c r="L12" s="29">
        <v>0.22517100431874898</v>
      </c>
    </row>
    <row r="13" spans="2:13" x14ac:dyDescent="0.2">
      <c r="B13" s="28" t="s">
        <v>105</v>
      </c>
      <c r="C13" s="1">
        <f t="shared" si="0"/>
        <v>23.683102120675606</v>
      </c>
      <c r="D13" s="1">
        <v>4.7200000000000002E-5</v>
      </c>
      <c r="E13">
        <v>8.3440906774263898E-2</v>
      </c>
      <c r="F13">
        <v>0.32877143609346715</v>
      </c>
      <c r="G13">
        <v>6.5618014667698334</v>
      </c>
      <c r="H13">
        <v>5.2866917616124143</v>
      </c>
      <c r="I13">
        <v>5.2866917616124143</v>
      </c>
      <c r="J13">
        <v>0</v>
      </c>
      <c r="K13">
        <v>3.0678287939066049</v>
      </c>
      <c r="L13" s="29">
        <v>3.0678287939066049</v>
      </c>
    </row>
    <row r="14" spans="2:13" x14ac:dyDescent="0.2">
      <c r="B14" s="28" t="s">
        <v>106</v>
      </c>
      <c r="C14" s="1">
        <f t="shared" si="0"/>
        <v>2.8508385427062741</v>
      </c>
      <c r="D14" s="1">
        <v>1.9899999999999999E-5</v>
      </c>
      <c r="E14">
        <v>3.3593518016051215E-4</v>
      </c>
      <c r="F14">
        <v>1.3236420346495394E-3</v>
      </c>
      <c r="G14">
        <v>2.6417977022712945E-2</v>
      </c>
      <c r="H14">
        <v>2.128435341906109E-2</v>
      </c>
      <c r="I14">
        <v>2.128435341906109E-2</v>
      </c>
      <c r="J14" s="1">
        <v>1.91637274122433E-7</v>
      </c>
      <c r="K14">
        <v>1.3900860949966773</v>
      </c>
      <c r="L14" s="29">
        <v>1.3900860949966773</v>
      </c>
    </row>
    <row r="15" spans="2:13" x14ac:dyDescent="0.2">
      <c r="B15" s="28" t="s">
        <v>107</v>
      </c>
      <c r="C15" s="1">
        <f t="shared" si="0"/>
        <v>3.8942603607427448E-2</v>
      </c>
      <c r="D15" s="1">
        <v>5.2700000000000004E-10</v>
      </c>
      <c r="E15" s="1">
        <v>1.8476030944354366E-4</v>
      </c>
      <c r="F15" s="1">
        <v>7.2798720216644139E-4</v>
      </c>
      <c r="G15" s="1">
        <v>1.4529569684415601E-2</v>
      </c>
      <c r="H15" s="1">
        <v>1.1706138434600678E-2</v>
      </c>
      <c r="I15" s="1">
        <v>1.1706138434600678E-2</v>
      </c>
      <c r="J15">
        <v>0</v>
      </c>
      <c r="K15">
        <v>4.4004507600255483E-5</v>
      </c>
      <c r="L15" s="29">
        <v>4.4004507600255483E-5</v>
      </c>
    </row>
    <row r="16" spans="2:13" x14ac:dyDescent="0.2">
      <c r="B16" s="28" t="s">
        <v>108</v>
      </c>
      <c r="C16" s="1">
        <f t="shared" si="0"/>
        <v>0.28507793289771144</v>
      </c>
      <c r="D16" s="1">
        <v>2.2399999999999999E-8</v>
      </c>
      <c r="E16" s="1">
        <v>1.3525664111946444E-3</v>
      </c>
      <c r="F16">
        <v>5.3293428680404363E-3</v>
      </c>
      <c r="G16">
        <v>0.10636596130110695</v>
      </c>
      <c r="H16">
        <v>8.5696596304270886E-2</v>
      </c>
      <c r="I16">
        <v>8.5696596304270886E-2</v>
      </c>
      <c r="J16" s="1">
        <v>3.38719763351721E-7</v>
      </c>
      <c r="K16">
        <v>3.1825429453216365E-4</v>
      </c>
      <c r="L16" s="29">
        <v>3.1825429453216365E-4</v>
      </c>
    </row>
    <row r="17" spans="2:12" x14ac:dyDescent="0.2">
      <c r="B17" s="28" t="s">
        <v>109</v>
      </c>
      <c r="C17" s="1">
        <f t="shared" si="0"/>
        <v>12.189085174858032</v>
      </c>
      <c r="D17" s="1">
        <v>3.1800000000000002E-7</v>
      </c>
      <c r="E17">
        <v>5.7939917143810277E-2</v>
      </c>
      <c r="F17">
        <v>0.22829317780595332</v>
      </c>
      <c r="G17">
        <v>4.5564010267448447</v>
      </c>
      <c r="H17">
        <v>3.6709869831755539</v>
      </c>
      <c r="I17">
        <v>3.6709869831755539</v>
      </c>
      <c r="J17" s="1">
        <v>3.7348054665748901E-6</v>
      </c>
      <c r="K17">
        <v>2.2365170034245206E-3</v>
      </c>
      <c r="L17" s="29">
        <v>2.2365170034245206E-3</v>
      </c>
    </row>
    <row r="18" spans="2:12" x14ac:dyDescent="0.2">
      <c r="B18" s="28" t="s">
        <v>110</v>
      </c>
      <c r="C18" s="1">
        <f t="shared" si="0"/>
        <v>234.44909908303765</v>
      </c>
      <c r="D18" s="1">
        <v>3.2677444853482697E-7</v>
      </c>
      <c r="E18">
        <v>1.1147745127111026</v>
      </c>
      <c r="F18">
        <v>4.3924021398275066</v>
      </c>
      <c r="G18">
        <v>87.665982015448563</v>
      </c>
      <c r="H18">
        <v>70.630455255587307</v>
      </c>
      <c r="I18">
        <v>70.630455255587307</v>
      </c>
      <c r="J18">
        <v>0</v>
      </c>
      <c r="K18">
        <v>7.5147885507164756E-3</v>
      </c>
      <c r="L18" s="29">
        <v>7.5147885507164756E-3</v>
      </c>
    </row>
    <row r="19" spans="2:12" x14ac:dyDescent="0.2">
      <c r="B19" s="28" t="s">
        <v>111</v>
      </c>
      <c r="C19" s="1">
        <f t="shared" si="0"/>
        <v>7.3243170408390892</v>
      </c>
      <c r="D19">
        <v>1.00629495267718E-3</v>
      </c>
      <c r="E19">
        <v>4.3403418706044695E-9</v>
      </c>
      <c r="F19">
        <v>1.7101688908962907E-8</v>
      </c>
      <c r="G19">
        <v>3.4132492986760423E-7</v>
      </c>
      <c r="H19">
        <v>2.7499760605410186E-7</v>
      </c>
      <c r="I19">
        <v>2.7499760605410186E-7</v>
      </c>
      <c r="J19">
        <v>0</v>
      </c>
      <c r="K19">
        <v>3.6616549165621195</v>
      </c>
      <c r="L19" s="29">
        <v>3.6616549165621195</v>
      </c>
    </row>
    <row r="20" spans="2:12" x14ac:dyDescent="0.2">
      <c r="B20" s="28" t="s">
        <v>112</v>
      </c>
      <c r="C20" s="1">
        <f t="shared" si="0"/>
        <v>1.1914248560416849E-7</v>
      </c>
      <c r="D20" s="1">
        <v>2.7932987558950799E-12</v>
      </c>
      <c r="E20" s="1">
        <v>5.5600497369983387E-10</v>
      </c>
      <c r="F20" s="1">
        <v>2.1907546399625933E-9</v>
      </c>
      <c r="G20" s="1">
        <v>4.3724288157906086E-8</v>
      </c>
      <c r="H20" s="1">
        <v>3.5227648254429814E-8</v>
      </c>
      <c r="I20" s="1">
        <v>3.5227648254429814E-8</v>
      </c>
      <c r="J20" s="1">
        <v>1.8612821547510299E-13</v>
      </c>
      <c r="K20">
        <v>1.1065809483844848E-9</v>
      </c>
      <c r="L20" s="29">
        <v>1.1065809483844848E-9</v>
      </c>
    </row>
    <row r="21" spans="2:12" x14ac:dyDescent="0.2">
      <c r="B21" s="28" t="s">
        <v>113</v>
      </c>
      <c r="C21" s="1">
        <f t="shared" si="0"/>
        <v>7.6328795646532665E-7</v>
      </c>
      <c r="D21" s="1">
        <v>4.7150871184810801E-13</v>
      </c>
      <c r="E21" s="1">
        <v>3.6278675669165758E-9</v>
      </c>
      <c r="F21" s="1">
        <v>1.4294418361953346E-8</v>
      </c>
      <c r="G21" s="1">
        <v>2.8529587755130073E-7</v>
      </c>
      <c r="H21" s="1">
        <v>2.2985629374960652E-7</v>
      </c>
      <c r="I21" s="1">
        <v>2.2985629374960652E-7</v>
      </c>
      <c r="J21" s="1">
        <v>1.8455973040186999E-13</v>
      </c>
      <c r="K21">
        <v>1.782747087503641E-10</v>
      </c>
      <c r="L21" s="29">
        <v>1.782747087503641E-10</v>
      </c>
    </row>
    <row r="22" spans="2:12" x14ac:dyDescent="0.2">
      <c r="B22" s="28" t="s">
        <v>114</v>
      </c>
      <c r="C22" s="1">
        <f t="shared" si="0"/>
        <v>3.9017677181505984E-8</v>
      </c>
      <c r="D22" s="1">
        <v>2.3188381442490801E-12</v>
      </c>
      <c r="E22" s="1">
        <v>1.7844990584141958E-10</v>
      </c>
      <c r="F22" s="1">
        <v>7.0312313327260199E-10</v>
      </c>
      <c r="G22" s="1">
        <v>1.4033318897923682E-8</v>
      </c>
      <c r="H22" s="1">
        <v>1.1306320647072888E-8</v>
      </c>
      <c r="I22" s="1">
        <v>1.1306320647072888E-8</v>
      </c>
      <c r="J22">
        <v>0</v>
      </c>
      <c r="K22">
        <v>7.4391255608912635E-10</v>
      </c>
      <c r="L22" s="29">
        <v>7.4391255608912635E-10</v>
      </c>
    </row>
    <row r="23" spans="2:12" x14ac:dyDescent="0.2">
      <c r="B23" s="28" t="s">
        <v>115</v>
      </c>
      <c r="C23" s="1">
        <f t="shared" si="0"/>
        <v>6.6523749514969853E-7</v>
      </c>
      <c r="D23" s="1">
        <v>1.4771350786751601E-14</v>
      </c>
      <c r="E23" s="1">
        <v>3.1614049359884267E-9</v>
      </c>
      <c r="F23" s="1">
        <v>1.245647585889457E-8</v>
      </c>
      <c r="G23" s="1">
        <v>2.4861320841278996E-7</v>
      </c>
      <c r="H23" s="1">
        <v>2.0030191516765522E-7</v>
      </c>
      <c r="I23" s="1">
        <v>2.0030191516765522E-7</v>
      </c>
      <c r="J23" s="1">
        <v>1.59499783144255E-15</v>
      </c>
      <c r="K23">
        <v>2.012796201832322E-10</v>
      </c>
      <c r="L23" s="29">
        <v>2.012796201832322E-10</v>
      </c>
    </row>
    <row r="24" spans="2:12" x14ac:dyDescent="0.2">
      <c r="B24" s="28" t="s">
        <v>116</v>
      </c>
      <c r="C24" s="1">
        <f t="shared" si="0"/>
        <v>6.8140965117288971E-7</v>
      </c>
      <c r="D24" s="1">
        <v>5.9401782723745E-20</v>
      </c>
      <c r="E24" s="1">
        <v>3.2251448678354791E-9</v>
      </c>
      <c r="F24" s="1">
        <v>1.2707622086086803E-8</v>
      </c>
      <c r="G24" s="1">
        <v>2.5362572319067106E-7</v>
      </c>
      <c r="H24" s="1">
        <v>2.0434038245676532E-7</v>
      </c>
      <c r="I24" s="1">
        <v>2.0434038245676532E-7</v>
      </c>
      <c r="J24">
        <v>0</v>
      </c>
      <c r="K24">
        <v>1.5851980573531198E-9</v>
      </c>
      <c r="L24" s="29">
        <v>1.5851980573531198E-9</v>
      </c>
    </row>
    <row r="25" spans="2:12" x14ac:dyDescent="0.2">
      <c r="B25" s="28" t="s">
        <v>117</v>
      </c>
      <c r="C25" s="1">
        <f t="shared" si="0"/>
        <v>9.1748354820874636E-2</v>
      </c>
      <c r="D25" s="1">
        <v>8.8676850120900605E-8</v>
      </c>
      <c r="E25" s="1">
        <v>4.3627586722356013E-4</v>
      </c>
      <c r="F25">
        <v>1.7190014939321473E-3</v>
      </c>
      <c r="G25">
        <v>3.4308778944703557E-2</v>
      </c>
      <c r="H25">
        <v>2.7641790126764283E-2</v>
      </c>
      <c r="I25">
        <v>2.7641790126764283E-2</v>
      </c>
      <c r="J25" s="1">
        <v>6.1855763082364704E-7</v>
      </c>
      <c r="K25">
        <v>5.5135029362753516E-9</v>
      </c>
      <c r="L25" s="29">
        <v>5.5135029362753516E-9</v>
      </c>
    </row>
    <row r="26" spans="2:12" x14ac:dyDescent="0.2">
      <c r="B26" s="28" t="s">
        <v>118</v>
      </c>
      <c r="C26" s="1">
        <f t="shared" si="0"/>
        <v>926.98517984205728</v>
      </c>
      <c r="D26">
        <v>3.2149333864937902E-3</v>
      </c>
      <c r="E26">
        <v>4.4079551934827075</v>
      </c>
      <c r="F26">
        <v>17.368096958936135</v>
      </c>
      <c r="G26">
        <v>346.64204851344863</v>
      </c>
      <c r="H26">
        <v>279.28148563852011</v>
      </c>
      <c r="I26">
        <v>279.28148563852011</v>
      </c>
      <c r="J26">
        <v>0</v>
      </c>
      <c r="K26">
        <v>4.4648288152524711E-4</v>
      </c>
      <c r="L26" s="29">
        <v>4.4648288152524711E-4</v>
      </c>
    </row>
    <row r="27" spans="2:12" x14ac:dyDescent="0.2">
      <c r="B27" s="28" t="s">
        <v>119</v>
      </c>
      <c r="C27" s="1">
        <f t="shared" si="0"/>
        <v>3.0186987145738078</v>
      </c>
      <c r="D27" s="1">
        <v>2.0187899919104101E-11</v>
      </c>
      <c r="E27" s="1">
        <v>3.1253984240436425E-6</v>
      </c>
      <c r="F27" s="1">
        <v>1.2314604046872813E-5</v>
      </c>
      <c r="G27" s="1">
        <v>2.4578165262047652E-4</v>
      </c>
      <c r="H27" s="1">
        <v>1.9802059611897968E-4</v>
      </c>
      <c r="I27" s="1">
        <v>1.9802059611897968E-4</v>
      </c>
      <c r="J27">
        <v>0</v>
      </c>
      <c r="K27">
        <v>1.5090207258531454</v>
      </c>
      <c r="L27" s="29">
        <v>1.5090207258531454</v>
      </c>
    </row>
    <row r="28" spans="2:12" x14ac:dyDescent="0.2">
      <c r="B28" s="28" t="s">
        <v>120</v>
      </c>
      <c r="C28" s="1">
        <f t="shared" si="0"/>
        <v>18.333233398234945</v>
      </c>
      <c r="D28" s="1">
        <v>1.95411624165598E-12</v>
      </c>
      <c r="E28" s="1">
        <v>8.7177685802991442E-2</v>
      </c>
      <c r="F28" s="1">
        <v>0.34349498423229963</v>
      </c>
      <c r="G28" s="1">
        <v>6.855662152848355</v>
      </c>
      <c r="H28" s="1">
        <v>5.5234485236114725</v>
      </c>
      <c r="I28" s="1">
        <v>5.5234485236114725</v>
      </c>
      <c r="J28" s="1">
        <v>3.73250721942347E-12</v>
      </c>
      <c r="K28">
        <v>7.6406133299215673E-7</v>
      </c>
      <c r="L28" s="29">
        <v>7.6406133299215673E-7</v>
      </c>
    </row>
    <row r="29" spans="2:12" ht="16" thickBot="1" x14ac:dyDescent="0.25">
      <c r="B29" s="31" t="s">
        <v>121</v>
      </c>
      <c r="C29" s="33">
        <f t="shared" si="0"/>
        <v>0.70488906787805217</v>
      </c>
      <c r="D29" s="33">
        <v>1.0425698580898701E-6</v>
      </c>
      <c r="E29" s="32">
        <v>1.46804972939923E-3</v>
      </c>
      <c r="F29" s="32">
        <v>5.7843668825041704E-3</v>
      </c>
      <c r="G29" s="32">
        <v>0.115447556194283</v>
      </c>
      <c r="H29" s="32">
        <v>9.3013452984134701E-2</v>
      </c>
      <c r="I29" s="32">
        <v>9.3013452984134701E-2</v>
      </c>
      <c r="J29" s="32">
        <v>0</v>
      </c>
      <c r="K29" s="32">
        <v>0.19808057326686912</v>
      </c>
      <c r="L29" s="34">
        <v>0.19808057326686912</v>
      </c>
    </row>
    <row r="30" spans="2:12" x14ac:dyDescent="0.2">
      <c r="K30">
        <v>0</v>
      </c>
      <c r="L3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5D56-FF53-443D-A5DC-EBB3C4197ADE}">
  <sheetPr>
    <tabColor rgb="FFFFFF00"/>
  </sheetPr>
  <dimension ref="B1:O27"/>
  <sheetViews>
    <sheetView tabSelected="1" zoomScale="64" workbookViewId="0">
      <selection activeCell="J30" sqref="J30"/>
    </sheetView>
  </sheetViews>
  <sheetFormatPr baseColWidth="10" defaultColWidth="8.83203125" defaultRowHeight="15" customHeight="1" x14ac:dyDescent="0.2"/>
  <cols>
    <col min="2" max="5" width="16" customWidth="1"/>
    <col min="6" max="15" width="22" customWidth="1"/>
    <col min="16" max="32" width="8.83203125" bestFit="1" customWidth="1"/>
  </cols>
  <sheetData>
    <row r="1" spans="2:15" x14ac:dyDescent="0.2"/>
    <row r="2" spans="2:15" ht="29" customHeight="1" x14ac:dyDescent="0.2">
      <c r="B2" s="76" t="s">
        <v>122</v>
      </c>
      <c r="C2" s="77"/>
      <c r="D2" s="77"/>
      <c r="E2" s="78"/>
      <c r="F2" s="79" t="s">
        <v>123</v>
      </c>
      <c r="G2" s="77"/>
      <c r="H2" s="77"/>
      <c r="I2" s="77"/>
      <c r="J2" s="77"/>
      <c r="K2" s="77"/>
      <c r="L2" s="77"/>
      <c r="M2" s="77"/>
      <c r="N2" s="77"/>
      <c r="O2" s="78"/>
    </row>
    <row r="3" spans="2:15" ht="51" x14ac:dyDescent="0.2">
      <c r="B3" s="46" t="s">
        <v>124</v>
      </c>
      <c r="C3" s="47" t="s">
        <v>125</v>
      </c>
      <c r="D3" s="47" t="s">
        <v>126</v>
      </c>
      <c r="E3" s="48"/>
      <c r="F3" s="49" t="s">
        <v>127</v>
      </c>
      <c r="G3" s="47" t="s">
        <v>127</v>
      </c>
      <c r="H3" s="47" t="s">
        <v>127</v>
      </c>
      <c r="I3" s="47" t="s">
        <v>127</v>
      </c>
      <c r="J3" s="47" t="s">
        <v>127</v>
      </c>
      <c r="K3" s="47" t="s">
        <v>127</v>
      </c>
      <c r="L3" s="47" t="s">
        <v>127</v>
      </c>
      <c r="M3" s="47" t="s">
        <v>127</v>
      </c>
      <c r="N3" s="47" t="s">
        <v>127</v>
      </c>
      <c r="O3" s="48" t="s">
        <v>127</v>
      </c>
    </row>
    <row r="4" spans="2:15" ht="16" x14ac:dyDescent="0.2">
      <c r="B4" s="13" t="s">
        <v>16</v>
      </c>
      <c r="C4" s="11">
        <v>1</v>
      </c>
      <c r="D4" s="11" t="s">
        <v>128</v>
      </c>
      <c r="E4" s="16"/>
      <c r="F4" s="14">
        <v>1.0699999999999999E-6</v>
      </c>
      <c r="G4" s="15">
        <v>1.1769999999999999E-6</v>
      </c>
      <c r="H4" s="14">
        <v>1.0699999999999999E-6</v>
      </c>
      <c r="I4" s="14">
        <v>1.0699999999999999E-6</v>
      </c>
      <c r="J4" s="14">
        <v>1.0699999999999999E-6</v>
      </c>
      <c r="K4" s="14">
        <v>1.0699999999999999E-6</v>
      </c>
      <c r="L4" s="14">
        <v>1.0699999999999999E-6</v>
      </c>
      <c r="M4" s="14">
        <v>1.0699999999999999E-6</v>
      </c>
      <c r="N4" s="14">
        <v>1.0699999999999999E-6</v>
      </c>
      <c r="O4" s="39">
        <v>1.0699999999999999E-6</v>
      </c>
    </row>
    <row r="5" spans="2:15" ht="48" x14ac:dyDescent="0.2">
      <c r="B5" s="13" t="s">
        <v>129</v>
      </c>
      <c r="C5" s="11">
        <v>0.4</v>
      </c>
      <c r="D5" s="11" t="s">
        <v>128</v>
      </c>
      <c r="E5" s="16"/>
      <c r="F5" s="14">
        <v>1.2274190330178E-4</v>
      </c>
      <c r="G5" s="14">
        <v>1.2274190330178E-4</v>
      </c>
      <c r="H5" s="15">
        <v>1.3501609363195802E-4</v>
      </c>
      <c r="I5" s="14">
        <v>1.2274190330178E-4</v>
      </c>
      <c r="J5" s="14">
        <v>1.2274190330178E-4</v>
      </c>
      <c r="K5" s="14">
        <v>1.2274190330178E-4</v>
      </c>
      <c r="L5" s="14">
        <v>1.2274190330178E-4</v>
      </c>
      <c r="M5" s="14">
        <v>1.2274190330178E-4</v>
      </c>
      <c r="N5" s="14">
        <v>1.2274190330178E-4</v>
      </c>
      <c r="O5" s="39">
        <v>1.2274190330178E-4</v>
      </c>
    </row>
    <row r="6" spans="2:15" ht="48" x14ac:dyDescent="0.2">
      <c r="B6" s="13" t="s">
        <v>130</v>
      </c>
      <c r="C6" s="11">
        <v>5.1200000000000002E-2</v>
      </c>
      <c r="D6" s="11" t="s">
        <v>128</v>
      </c>
      <c r="E6" s="16"/>
      <c r="F6" s="17">
        <v>2.449751E-3</v>
      </c>
      <c r="G6" s="17">
        <v>2.449751E-3</v>
      </c>
      <c r="H6" s="17">
        <v>2.449751E-3</v>
      </c>
      <c r="I6" s="15">
        <v>2.6947261000000002E-3</v>
      </c>
      <c r="J6" s="17">
        <v>2.449751E-3</v>
      </c>
      <c r="K6" s="17">
        <v>2.449751E-3</v>
      </c>
      <c r="L6" s="17">
        <v>2.449751E-3</v>
      </c>
      <c r="M6" s="17">
        <v>2.449751E-3</v>
      </c>
      <c r="N6" s="17">
        <v>2.449751E-3</v>
      </c>
      <c r="O6" s="40">
        <v>2.449751E-3</v>
      </c>
    </row>
    <row r="7" spans="2:15" ht="48" x14ac:dyDescent="0.2">
      <c r="B7" s="13" t="s">
        <v>131</v>
      </c>
      <c r="C7" s="11">
        <v>5.1200000000000002E-2</v>
      </c>
      <c r="D7" s="11" t="s">
        <v>128</v>
      </c>
      <c r="E7" s="16"/>
      <c r="F7" s="17">
        <v>1.9737069999999999E-3</v>
      </c>
      <c r="G7" s="17">
        <v>1.9737069999999999E-3</v>
      </c>
      <c r="H7" s="17">
        <v>1.9737069999999999E-3</v>
      </c>
      <c r="I7" s="17">
        <v>1.9737069999999999E-3</v>
      </c>
      <c r="J7" s="18">
        <v>2.1710777000000002E-3</v>
      </c>
      <c r="K7" s="17">
        <v>1.9737069999999999E-3</v>
      </c>
      <c r="L7" s="17">
        <v>1.9737069999999999E-3</v>
      </c>
      <c r="M7" s="17">
        <v>1.9737069999999999E-3</v>
      </c>
      <c r="N7" s="17">
        <v>1.9737069999999999E-3</v>
      </c>
      <c r="O7" s="40">
        <v>1.9737069999999999E-3</v>
      </c>
    </row>
    <row r="8" spans="2:15" ht="32" x14ac:dyDescent="0.2">
      <c r="B8" s="13" t="s">
        <v>132</v>
      </c>
      <c r="C8" s="11"/>
      <c r="D8" s="11"/>
      <c r="E8" s="16"/>
      <c r="F8" s="17">
        <v>1.9737069999999999E-3</v>
      </c>
      <c r="G8" s="17">
        <v>1.9737069999999999E-3</v>
      </c>
      <c r="H8" s="17">
        <v>1.9737069999999999E-3</v>
      </c>
      <c r="I8" s="17">
        <v>1.9737069999999999E-3</v>
      </c>
      <c r="J8" s="17">
        <v>1.9737069999999999E-3</v>
      </c>
      <c r="K8" s="18">
        <v>2.1710777000000002E-3</v>
      </c>
      <c r="L8" s="17">
        <v>1.9737069999999999E-3</v>
      </c>
      <c r="M8" s="17">
        <v>1.9737069999999999E-3</v>
      </c>
      <c r="N8" s="17">
        <v>1.9737069999999999E-3</v>
      </c>
      <c r="O8" s="40">
        <v>1.9737069999999999E-3</v>
      </c>
    </row>
    <row r="9" spans="2:15" ht="48" x14ac:dyDescent="0.2">
      <c r="B9" s="13" t="s">
        <v>133</v>
      </c>
      <c r="C9" s="11"/>
      <c r="D9" s="11"/>
      <c r="E9" s="16"/>
      <c r="F9" s="17">
        <v>3.1199999999999999E-5</v>
      </c>
      <c r="G9" s="17">
        <v>3.1199999999999999E-5</v>
      </c>
      <c r="H9" s="17">
        <v>3.1199999999999999E-5</v>
      </c>
      <c r="I9" s="17">
        <v>3.1199999999999999E-5</v>
      </c>
      <c r="J9" s="17">
        <v>3.1199999999999999E-5</v>
      </c>
      <c r="K9" s="17">
        <v>3.1199999999999999E-5</v>
      </c>
      <c r="L9" s="18">
        <v>3.4320000000000003E-5</v>
      </c>
      <c r="M9" s="17">
        <v>3.1199999999999999E-5</v>
      </c>
      <c r="N9" s="17">
        <v>3.1199999999999999E-5</v>
      </c>
      <c r="O9" s="40">
        <v>3.1199999999999999E-5</v>
      </c>
    </row>
    <row r="10" spans="2:15" ht="16" x14ac:dyDescent="0.2">
      <c r="B10" s="13" t="s">
        <v>134</v>
      </c>
      <c r="C10" s="11"/>
      <c r="D10" s="11"/>
      <c r="E10" s="16"/>
      <c r="F10" s="41">
        <v>4.3400000000000003E-9</v>
      </c>
      <c r="G10" s="41">
        <v>4.3400000000000003E-9</v>
      </c>
      <c r="H10" s="41">
        <v>4.3400000000000003E-9</v>
      </c>
      <c r="I10" s="41">
        <v>4.3400000000000003E-9</v>
      </c>
      <c r="J10" s="41">
        <v>4.3400000000000003E-9</v>
      </c>
      <c r="K10" s="41">
        <v>4.3400000000000003E-9</v>
      </c>
      <c r="L10" s="41">
        <v>4.3400000000000003E-9</v>
      </c>
      <c r="M10" s="42">
        <v>4.7740000000000011E-9</v>
      </c>
      <c r="N10" s="41">
        <v>4.3400000000000003E-9</v>
      </c>
      <c r="O10" s="43">
        <v>4.3400000000000003E-9</v>
      </c>
    </row>
    <row r="11" spans="2:15" ht="32" x14ac:dyDescent="0.2">
      <c r="B11" s="13" t="s">
        <v>135</v>
      </c>
      <c r="C11" s="11">
        <v>1.7778000000000002E-2</v>
      </c>
      <c r="D11" s="11" t="s">
        <v>136</v>
      </c>
      <c r="E11" s="16"/>
      <c r="F11" s="14">
        <v>2.59E-8</v>
      </c>
      <c r="G11" s="14">
        <v>2.59E-8</v>
      </c>
      <c r="H11" s="14">
        <v>2.59E-8</v>
      </c>
      <c r="I11" s="14">
        <v>2.59E-8</v>
      </c>
      <c r="J11" s="14">
        <v>2.59E-8</v>
      </c>
      <c r="K11" s="14">
        <v>2.59E-8</v>
      </c>
      <c r="L11" s="14">
        <v>2.59E-8</v>
      </c>
      <c r="M11" s="14">
        <v>2.59E-8</v>
      </c>
      <c r="N11" s="15">
        <v>2.8490000000000002E-8</v>
      </c>
      <c r="O11" s="39">
        <v>2.59E-8</v>
      </c>
    </row>
    <row r="12" spans="2:15" ht="16" x14ac:dyDescent="0.2">
      <c r="B12" s="13">
        <v>1.1000000000000001</v>
      </c>
      <c r="C12" s="12">
        <v>0.1</v>
      </c>
      <c r="D12" s="11"/>
      <c r="E12" s="8" t="s">
        <v>137</v>
      </c>
      <c r="F12" s="10">
        <v>6.5522071433017802E-3</v>
      </c>
      <c r="G12" s="9">
        <v>6.5523141433017794E-3</v>
      </c>
      <c r="H12" s="9">
        <v>6.5644813336319585E-3</v>
      </c>
      <c r="I12" s="9">
        <v>6.7971822433017795E-3</v>
      </c>
      <c r="J12" s="9">
        <v>6.7495778433017796E-3</v>
      </c>
      <c r="K12" s="9">
        <v>6.7495778433017805E-3</v>
      </c>
      <c r="L12" s="9">
        <v>6.5553271433017798E-3</v>
      </c>
      <c r="M12" s="9">
        <v>6.5522075773017802E-3</v>
      </c>
      <c r="N12" s="9">
        <v>6.5522097333017802E-3</v>
      </c>
      <c r="O12" s="73">
        <v>6.5522071433017802E-3</v>
      </c>
    </row>
    <row r="13" spans="2:15" ht="16" x14ac:dyDescent="0.2">
      <c r="B13" s="7"/>
      <c r="C13" s="6"/>
      <c r="D13" s="6"/>
      <c r="E13" s="5" t="s">
        <v>138</v>
      </c>
      <c r="F13" s="4"/>
      <c r="G13" s="3">
        <v>-1.633037504142028E-3</v>
      </c>
      <c r="H13" s="3">
        <v>-0.18732909478794538</v>
      </c>
      <c r="I13" s="3">
        <v>3.7388179989155801</v>
      </c>
      <c r="J13" s="3">
        <v>3.0122780871140264</v>
      </c>
      <c r="K13" s="3">
        <v>3.0122780871140398</v>
      </c>
      <c r="L13" s="3">
        <v>4.7617542177206859E-2</v>
      </c>
      <c r="M13" s="3">
        <v>6.623722213120453E-6</v>
      </c>
      <c r="N13" s="3">
        <v>-3.9528664821089E-5</v>
      </c>
      <c r="O13" s="2">
        <v>0</v>
      </c>
    </row>
    <row r="14" spans="2:15" x14ac:dyDescent="0.2">
      <c r="B14" s="31"/>
      <c r="C14" s="32"/>
      <c r="D14" s="32"/>
      <c r="E14" s="32"/>
      <c r="F14" s="32"/>
      <c r="G14" s="44">
        <v>1.633037504142028E-3</v>
      </c>
      <c r="H14" s="44">
        <v>0.18732909478794538</v>
      </c>
      <c r="I14" s="44">
        <v>-3.7388179989155801</v>
      </c>
      <c r="J14" s="44">
        <v>-3.0122780871140264</v>
      </c>
      <c r="K14" s="44">
        <v>-3.0122780871140398</v>
      </c>
      <c r="L14" s="44">
        <v>-4.7617542177206859E-2</v>
      </c>
      <c r="M14" s="44">
        <v>-6.623722213120453E-6</v>
      </c>
      <c r="N14" s="44">
        <v>3.9528664821089E-5</v>
      </c>
      <c r="O14" s="45">
        <v>0</v>
      </c>
    </row>
    <row r="17" spans="6:9" ht="15" customHeight="1" thickBot="1" x14ac:dyDescent="0.25"/>
    <row r="18" spans="6:9" ht="31" customHeight="1" thickBot="1" x14ac:dyDescent="0.25">
      <c r="F18" s="86" t="s">
        <v>141</v>
      </c>
    </row>
    <row r="19" spans="6:9" x14ac:dyDescent="0.2">
      <c r="F19" s="84">
        <v>0.1</v>
      </c>
    </row>
    <row r="20" spans="6:9" ht="16" thickBot="1" x14ac:dyDescent="0.25">
      <c r="F20" s="85" t="s">
        <v>139</v>
      </c>
    </row>
    <row r="27" spans="6:9" ht="15" customHeight="1" x14ac:dyDescent="0.2">
      <c r="I27" t="s">
        <v>140</v>
      </c>
    </row>
  </sheetData>
  <mergeCells count="2">
    <mergeCell ref="B2:E2"/>
    <mergeCell ref="F2:O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 Diagram</vt:lpstr>
      <vt:lpstr>Life Cycle Inventory</vt:lpstr>
      <vt:lpstr>Nano and Micro GWP results</vt:lpstr>
      <vt:lpstr>Normalised Results</vt:lpstr>
      <vt:lpstr>Raw Results</vt:lpstr>
      <vt:lpstr>Sensitivity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Antonia Svenmo</dc:creator>
  <cp:keywords/>
  <dc:description/>
  <cp:lastModifiedBy>Antonia Svenmo Salay</cp:lastModifiedBy>
  <cp:revision/>
  <dcterms:created xsi:type="dcterms:W3CDTF">2026-08-20T12:44:12Z</dcterms:created>
  <dcterms:modified xsi:type="dcterms:W3CDTF">2026-09-10T10:45:24Z</dcterms:modified>
  <cp:category/>
  <cp:contentStatus/>
</cp:coreProperties>
</file>